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19.xml" ContentType="application/vnd.openxmlformats-officedocument.spreadsheetml.worksheet+xml"/>
  <Override PartName="/xl/worksheets/sheet5.xml" ContentType="application/vnd.openxmlformats-officedocument.spreadsheetml.worksheet+xml"/>
  <Override PartName="/xl/worksheets/sheet11.xml" ContentType="application/vnd.openxmlformats-officedocument.spreadsheetml.worksheet+xml"/>
  <Override PartName="/xl/worksheets/sheet24.xml" ContentType="application/vnd.openxmlformats-officedocument.spreadsheetml.worksheet+xml"/>
  <Override PartName="/xl/worksheets/sheet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worksheets/sheet20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16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worksheets/sheet22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11.xml" ContentType="application/vnd.openxmlformats-officedocument.drawing+xml"/>
  <Override PartName="/xl/drawings/drawing17.xml" ContentType="application/vnd.openxmlformats-officedocument.drawing+xml"/>
  <Override PartName="/xl/drawings/drawing7.xml" ContentType="application/vnd.openxmlformats-officedocument.drawing+xml"/>
  <Override PartName="/xl/drawings/drawing4.xml" ContentType="application/vnd.openxmlformats-officedocument.drawing+xml"/>
  <Override PartName="/xl/drawings/drawing24.xml" ContentType="application/vnd.openxmlformats-officedocument.drawing+xml"/>
  <Override PartName="/xl/drawings/drawing19.xml" ContentType="application/vnd.openxmlformats-officedocument.drawing+xml"/>
  <Override PartName="/xl/drawings/drawing22.xml" ContentType="application/vnd.openxmlformats-officedocument.drawing+xml"/>
  <Override PartName="/xl/drawings/drawing15.xml" ContentType="application/vnd.openxmlformats-officedocument.drawing+xml"/>
  <Override PartName="/xl/drawings/drawing2.xml" ContentType="application/vnd.openxmlformats-officedocument.drawing+xml"/>
  <Override PartName="/xl/drawings/drawing23.xml" ContentType="application/vnd.openxmlformats-officedocument.drawing+xml"/>
  <Override PartName="/xl/drawings/drawing6.xml" ContentType="application/vnd.openxmlformats-officedocument.drawing+xml"/>
  <Override PartName="/xl/drawings/drawing9.xml" ContentType="application/vnd.openxmlformats-officedocument.drawing+xml"/>
  <Override PartName="/xl/drawings/drawing8.xml" ContentType="application/vnd.openxmlformats-officedocument.drawing+xml"/>
  <Override PartName="/xl/drawings/drawing14.xml" ContentType="application/vnd.openxmlformats-officedocument.drawing+xml"/>
  <Override PartName="/xl/drawings/drawing21.xml" ContentType="application/vnd.openxmlformats-officedocument.drawing+xml"/>
  <Override PartName="/xl/drawings/drawing16.xml" ContentType="application/vnd.openxmlformats-officedocument.drawing+xml"/>
  <Override PartName="/xl/drawings/drawing3.xml" ContentType="application/vnd.openxmlformats-officedocument.drawing+xml"/>
  <Override PartName="/xl/drawings/drawing5.xml" ContentType="application/vnd.openxmlformats-officedocument.drawing+xml"/>
  <Override PartName="/xl/drawings/drawing13.xml" ContentType="application/vnd.openxmlformats-officedocument.drawing+xml"/>
  <Override PartName="/xl/drawings/drawing18.xml" ContentType="application/vnd.openxmlformats-officedocument.drawing+xml"/>
  <Override PartName="/xl/drawings/drawing20.xml" ContentType="application/vnd.openxmlformats-officedocument.drawing+xml"/>
  <Override PartName="/xl/drawings/drawing12.xml" ContentType="application/vnd.openxmlformats-officedocument.drawing+xml"/>
  <Override PartName="/xl/drawings/drawing10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7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1.Data" sheetId="1" state="visible" r:id="rId3"/>
    <sheet name="2.SMIa_Frec" sheetId="2" state="visible" r:id="rId4"/>
    <sheet name="3.SMIa_Den" sheetId="3" state="visible" r:id="rId5"/>
    <sheet name="4.Densidad" sheetId="4" state="visible" r:id="rId6"/>
    <sheet name="5.PRISMAS" sheetId="5" state="visible" r:id="rId7"/>
    <sheet name="6.Reciprocidad" sheetId="6" state="visible" r:id="rId8"/>
    <sheet name="7.Variables" sheetId="7" state="visible" r:id="rId9"/>
    <sheet name="8.AAG_D" sheetId="8" state="visible" r:id="rId10"/>
    <sheet name="9.AAG_Meta" sheetId="9" state="visible" r:id="rId11"/>
    <sheet name="9.AAG_Meta_Charts" sheetId="10" state="visible" r:id="rId12"/>
    <sheet name="11.CLUSTERS" sheetId="11" state="visible" r:id="rId13"/>
    <sheet name="12.INDICES" sheetId="12" state="visible" r:id="rId14"/>
    <sheet name="10.PCA_coord" sheetId="13" state="visible" r:id="rId15"/>
    <sheet name="13.Difracción" sheetId="14" state="visible" r:id="rId16"/>
    <sheet name="14.Rejillas" sheetId="15" state="visible" r:id="rId17"/>
    <sheet name="15.Difr_Prismas" sheetId="16" state="visible" r:id="rId18"/>
    <sheet name="16.Difrac_Resumen" sheetId="17" state="visible" r:id="rId19"/>
    <sheet name="17.Individual" sheetId="18" state="visible" r:id="rId20"/>
    <sheet name="18.Análisis_Espectral_AGE" sheetId="19" state="visible" r:id="rId21"/>
    <sheet name="19.Markov" sheetId="20" state="visible" r:id="rId22"/>
    <sheet name="20.Ordinal C(n,n)" sheetId="21" state="visible" r:id="rId23"/>
    <sheet name="22.Física_Grupal" sheetId="22" state="visible" r:id="rId24"/>
    <sheet name="21.Parámetros" sheetId="23" state="visible" r:id="rId25"/>
    <sheet name="23.Grasmaniano_Tríadas" sheetId="24" state="visible" r:id="rId2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<sst xmlns="http://schemas.openxmlformats.org/spreadsheetml/2006/main" count="6377" uniqueCount="1288">
  <si>
    <t xml:space="preserve">1G1T1C
1.Data</t>
  </si>
  <si>
    <t xml:space="preserve">Matriz ID:</t>
  </si>
  <si>
    <t xml:space="preserve">1g1t1c (G2-T1-C1)</t>
  </si>
  <si>
    <t xml:space="preserve">Etapa:</t>
  </si>
  <si>
    <t xml:space="preserve">T1 - Diagnóstico Base</t>
  </si>
  <si>
    <t xml:space="preserve">Proyecto:</t>
  </si>
  <si>
    <t xml:space="preserve">Dossier Analítico NEX_ORD</t>
  </si>
  <si>
    <t xml:space="preserve">SIMULACIÓN IN SILICO
Datos Anonimizados</t>
  </si>
  <si>
    <t xml:space="preserve">Motor Core:</t>
  </si>
  <si>
    <t xml:space="preserve">NEX_ORD Platinum v6.0</t>
  </si>
  <si>
    <t xml:space="preserve">Analizado:</t>
  </si>
  <si>
    <t xml:space="preserve">260829_154156</t>
  </si>
  <si>
    <t xml:space="preserve">Path Audit:</t>
  </si>
  <si>
    <t xml:space="preserve">.../05_Output/FULL_TABLES_1g1t1c.xlsx</t>
  </si>
  <si>
    <t xml:space="preserve">Protocolo:</t>
  </si>
  <si>
    <t xml:space="preserve">DOI 10.5281/zenodo.189416.1</t>
  </si>
  <si>
    <t xml:space="preserve">► 1.01 DATOS RAW</t>
  </si>
  <si>
    <t xml:space="preserve">IDENTIFICACIÓN Y METADATOS</t>
  </si>
  <si>
    <t xml:space="preserve">ORDENACION DE ELECCIONES (BREVE)</t>
  </si>
  <si>
    <t xml:space="preserve">MORENO</t>
  </si>
  <si>
    <t xml:space="preserve">META</t>
  </si>
  <si>
    <t xml:space="preserve">VARIABLES COMPLEMENTARIAS</t>
  </si>
  <si>
    <t xml:space="preserve">ADJETIVOS AAG</t>
  </si>
  <si>
    <t xml:space="preserve">Nom</t>
  </si>
  <si>
    <t xml:space="preserve">IDi</t>
  </si>
  <si>
    <t xml:space="preserve">IDm</t>
  </si>
  <si>
    <t xml:space="preserve">Criterio</t>
  </si>
  <si>
    <t xml:space="preserve">GRUMO</t>
  </si>
  <si>
    <t xml:space="preserve">1º</t>
  </si>
  <si>
    <t xml:space="preserve">2º</t>
  </si>
  <si>
    <t xml:space="preserve">3º</t>
  </si>
  <si>
    <t xml:space="preserve">4º</t>
  </si>
  <si>
    <t xml:space="preserve">5º</t>
  </si>
  <si>
    <t xml:space="preserve">E</t>
  </si>
  <si>
    <t xml:space="preserve">R</t>
  </si>
  <si>
    <t xml:space="preserve">pE</t>
  </si>
  <si>
    <t xml:space="preserve">pR</t>
  </si>
  <si>
    <t xml:space="preserve">aE</t>
  </si>
  <si>
    <t xml:space="preserve">oE</t>
  </si>
  <si>
    <t xml:space="preserve">SX</t>
  </si>
  <si>
    <t xml:space="preserve">ED</t>
  </si>
  <si>
    <t xml:space="preserve">ORIG</t>
  </si>
  <si>
    <t xml:space="preserve">ANT</t>
  </si>
  <si>
    <t xml:space="preserve">ORIEN</t>
  </si>
  <si>
    <t xml:space="preserve">IMPL</t>
  </si>
  <si>
    <t xml:space="preserve">PRES</t>
  </si>
  <si>
    <t xml:space="preserve">ROL</t>
  </si>
  <si>
    <t xml:space="preserve">REND</t>
  </si>
  <si>
    <t xml:space="preserve">COM</t>
  </si>
  <si>
    <t xml:space="preserve">claro</t>
  </si>
  <si>
    <t xml:space="preserve">coherente</t>
  </si>
  <si>
    <t xml:space="preserve">flexible</t>
  </si>
  <si>
    <t xml:space="preserve">consensuado</t>
  </si>
  <si>
    <t xml:space="preserve">productivo</t>
  </si>
  <si>
    <t xml:space="preserve">ordenado</t>
  </si>
  <si>
    <t xml:space="preserve">activo</t>
  </si>
  <si>
    <t xml:space="preserve">ejemplar</t>
  </si>
  <si>
    <t xml:space="preserve">abierto</t>
  </si>
  <si>
    <t xml:space="preserve">crítico</t>
  </si>
  <si>
    <t xml:space="preserve">perceptivo</t>
  </si>
  <si>
    <t xml:space="preserve">expresivo</t>
  </si>
  <si>
    <t xml:space="preserve">amistoso</t>
  </si>
  <si>
    <t xml:space="preserve">leal</t>
  </si>
  <si>
    <t xml:space="preserve">colaborador</t>
  </si>
  <si>
    <t xml:space="preserve">tolerante</t>
  </si>
  <si>
    <t xml:space="preserve">1</t>
  </si>
  <si>
    <t xml:space="preserve">1g1t1c</t>
  </si>
  <si>
    <t xml:space="preserve">Tarea</t>
  </si>
  <si>
    <t xml:space="preserve">1, 2</t>
  </si>
  <si>
    <t xml:space="preserve">5, 4</t>
  </si>
  <si>
    <t xml:space="preserve">5</t>
  </si>
  <si>
    <t xml:space="preserve">2</t>
  </si>
  <si>
    <t xml:space="preserve">3, 1</t>
  </si>
  <si>
    <t xml:space="preserve">4, 5</t>
  </si>
  <si>
    <t xml:space="preserve">3</t>
  </si>
  <si>
    <t xml:space="preserve">4</t>
  </si>
  <si>
    <t xml:space="preserve">2, 3</t>
  </si>
  <si>
    <t xml:space="preserve">3, 2</t>
  </si>
  <si>
    <t xml:space="preserve">1, 3</t>
  </si>
  <si>
    <t xml:space="preserve">► 1.02 MATRIZ SMIb instrumental</t>
  </si>
  <si>
    <t xml:space="preserve">ID_Sujeto</t>
  </si>
  <si>
    <t xml:space="preserve">AAAA</t>
  </si>
  <si>
    <t xml:space="preserve">0BB0</t>
  </si>
  <si>
    <t xml:space="preserve">0000</t>
  </si>
  <si>
    <t xml:space="preserve">0b00</t>
  </si>
  <si>
    <t xml:space="preserve">aaaa</t>
  </si>
  <si>
    <t xml:space="preserve">aaa0</t>
  </si>
  <si>
    <t xml:space="preserve">0bb0</t>
  </si>
  <si>
    <t xml:space="preserve">00c0</t>
  </si>
  <si>
    <t xml:space="preserve">0baa</t>
  </si>
  <si>
    <t xml:space="preserve">aabb</t>
  </si>
  <si>
    <t xml:space="preserve">00b0</t>
  </si>
  <si>
    <t xml:space="preserve">0bc0</t>
  </si>
  <si>
    <t xml:space="preserve">► 1.03 MATRIZ SMIa integrada</t>
  </si>
  <si>
    <t xml:space="preserve">DADAS</t>
  </si>
  <si>
    <t xml:space="preserve">SMIa</t>
  </si>
  <si>
    <t xml:space="preserve">¿</t>
  </si>
  <si>
    <t xml:space="preserve">&lt;</t>
  </si>
  <si>
    <t xml:space="preserve">¡</t>
  </si>
  <si>
    <t xml:space="preserve">[</t>
  </si>
  <si>
    <t xml:space="preserve">&lt;Ee&gt;</t>
  </si>
  <si>
    <t xml:space="preserve">¡Ee!</t>
  </si>
  <si>
    <t xml:space="preserve">¡¿?!</t>
  </si>
  <si>
    <t xml:space="preserve">¡R?!</t>
  </si>
  <si>
    <t xml:space="preserve">[Rr]</t>
  </si>
  <si>
    <t xml:space="preserve">[Rr!</t>
  </si>
  <si>
    <t xml:space="preserve">¡Rr!</t>
  </si>
  <si>
    <t xml:space="preserve">¡¿r!</t>
  </si>
  <si>
    <t xml:space="preserve">¡Rr]</t>
  </si>
  <si>
    <t xml:space="preserve">SUM</t>
  </si>
  <si>
    <t xml:space="preserve">Recibidas</t>
  </si>
  <si>
    <t xml:space="preserve">SMIa. Explicación</t>
  </si>
  <si>
    <t xml:space="preserve">e</t>
  </si>
  <si>
    <t xml:space="preserve">DA</t>
  </si>
  <si>
    <t xml:space="preserve">RECIBE</t>
  </si>
  <si>
    <t xml:space="preserve">?</t>
  </si>
  <si>
    <t xml:space="preserve">tipo</t>
  </si>
  <si>
    <t xml:space="preserve">PERCEPCION</t>
  </si>
  <si>
    <t xml:space="preserve">REAL</t>
  </si>
  <si>
    <t xml:space="preserve">r</t>
  </si>
  <si>
    <t xml:space="preserve">elige</t>
  </si>
  <si>
    <t xml:space="preserve">&gt;</t>
  </si>
  <si>
    <t xml:space="preserve">indiferencia</t>
  </si>
  <si>
    <t xml:space="preserve">!</t>
  </si>
  <si>
    <t xml:space="preserve">relega</t>
  </si>
  <si>
    <t xml:space="preserve">]</t>
  </si>
  <si>
    <t xml:space="preserve">► 1.05 TOTALES DE GRUPO</t>
  </si>
  <si>
    <t xml:space="preserve">► 1.04 RECUENTOS especiales</t>
  </si>
  <si>
    <t xml:space="preserve">% grupales</t>
  </si>
  <si>
    <t xml:space="preserve">concepto</t>
  </si>
  <si>
    <t xml:space="preserve">Reciprocid</t>
  </si>
  <si>
    <t xml:space="preserve">(&lt;)+E</t>
  </si>
  <si>
    <t xml:space="preserve">Preferencias +</t>
  </si>
  <si>
    <t xml:space="preserve">Ee</t>
  </si>
  <si>
    <t xml:space="preserve">(¡)+(¿)</t>
  </si>
  <si>
    <t xml:space="preserve">Indiferencias</t>
  </si>
  <si>
    <t xml:space="preserve">¿?</t>
  </si>
  <si>
    <t xml:space="preserve">([)+R</t>
  </si>
  <si>
    <t xml:space="preserve">Preferencias -</t>
  </si>
  <si>
    <t xml:space="preserve">Rr</t>
  </si>
  <si>
    <t xml:space="preserve">&lt;&gt;</t>
  </si>
  <si>
    <t xml:space="preserve">(&lt;)+E / (&lt;E+[R)*100</t>
  </si>
  <si>
    <t xml:space="preserve">Ratio +</t>
  </si>
  <si>
    <t xml:space="preserve">¡!</t>
  </si>
  <si>
    <t xml:space="preserve">([)+R / (&lt;E+[R)*100</t>
  </si>
  <si>
    <t xml:space="preserve">Ratio -</t>
  </si>
  <si>
    <t xml:space="preserve">[]</t>
  </si>
  <si>
    <t xml:space="preserve">(&lt;..&gt;) + (Ee)</t>
  </si>
  <si>
    <t xml:space="preserve">Reciprocidad+</t>
  </si>
  <si>
    <t xml:space="preserve">(¡..!) + (¿?)</t>
  </si>
  <si>
    <t xml:space="preserve">Reciprocidad =</t>
  </si>
  <si>
    <t xml:space="preserve">Oposición</t>
  </si>
  <si>
    <t xml:space="preserve">([..]) + (Rr)</t>
  </si>
  <si>
    <t xml:space="preserve">Reciprocidad -</t>
  </si>
  <si>
    <t xml:space="preserve">Er</t>
  </si>
  <si>
    <t xml:space="preserve">(Er)+(&lt;..])</t>
  </si>
  <si>
    <t xml:space="preserve">Oposición de sentimientos</t>
  </si>
  <si>
    <t xml:space="preserve">Re</t>
  </si>
  <si>
    <t xml:space="preserve">&lt;]</t>
  </si>
  <si>
    <t xml:space="preserve">(&lt;.?) 0.5 + (&lt;.r) 1.0</t>
  </si>
  <si>
    <t xml:space="preserve">ALI+ (Ilusión Afectiva)</t>
  </si>
  <si>
    <t xml:space="preserve">[&gt;</t>
  </si>
  <si>
    <t xml:space="preserve">([.?) 0.5 + ([.e) 1.0</t>
  </si>
  <si>
    <t xml:space="preserve">ALI- (Paranoia/Persecución)</t>
  </si>
  <si>
    <t xml:space="preserve">ALI+ + ALI-</t>
  </si>
  <si>
    <t xml:space="preserve">ALI Total (Alienación Global)</t>
  </si>
  <si>
    <t xml:space="preserve">2.02: NUMERALIZACION FIGURAS</t>
  </si>
  <si>
    <t xml:space="preserve">FIGURAS</t>
  </si>
  <si>
    <t xml:space="preserve">e&gt;</t>
  </si>
  <si>
    <t xml:space="preserve">e!</t>
  </si>
  <si>
    <t xml:space="preserve">e]</t>
  </si>
  <si>
    <t xml:space="preserve">?&gt;</t>
  </si>
  <si>
    <t xml:space="preserve">?!</t>
  </si>
  <si>
    <t xml:space="preserve">?]</t>
  </si>
  <si>
    <t xml:space="preserve">r&gt;</t>
  </si>
  <si>
    <t xml:space="preserve">r!</t>
  </si>
  <si>
    <t xml:space="preserve">r]</t>
  </si>
  <si>
    <t xml:space="preserve">&lt;E</t>
  </si>
  <si>
    <t xml:space="preserve">&lt;Ee!</t>
  </si>
  <si>
    <t xml:space="preserve">&lt;Ee]</t>
  </si>
  <si>
    <t xml:space="preserve">&lt;E?&gt;</t>
  </si>
  <si>
    <t xml:space="preserve">&lt;E?!</t>
  </si>
  <si>
    <t xml:space="preserve">&lt;E?]</t>
  </si>
  <si>
    <t xml:space="preserve">&lt;Er&gt;</t>
  </si>
  <si>
    <t xml:space="preserve">&lt;Er!</t>
  </si>
  <si>
    <t xml:space="preserve">&lt;Er]</t>
  </si>
  <si>
    <t xml:space="preserve">¡E</t>
  </si>
  <si>
    <t xml:space="preserve">¡Ee&gt;</t>
  </si>
  <si>
    <t xml:space="preserve">¡Ee]</t>
  </si>
  <si>
    <t xml:space="preserve">¡E?&gt;</t>
  </si>
  <si>
    <t xml:space="preserve">¡E?!</t>
  </si>
  <si>
    <t xml:space="preserve">¡E?]</t>
  </si>
  <si>
    <t xml:space="preserve">¡Er&gt;</t>
  </si>
  <si>
    <t xml:space="preserve">¡Er!</t>
  </si>
  <si>
    <t xml:space="preserve">¡Er]</t>
  </si>
  <si>
    <t xml:space="preserve">[E</t>
  </si>
  <si>
    <t xml:space="preserve">[Ee&gt;</t>
  </si>
  <si>
    <t xml:space="preserve">[Ee!</t>
  </si>
  <si>
    <t xml:space="preserve">[Ee]</t>
  </si>
  <si>
    <t xml:space="preserve">[E?&gt;</t>
  </si>
  <si>
    <t xml:space="preserve">[E?!</t>
  </si>
  <si>
    <t xml:space="preserve">[E?]</t>
  </si>
  <si>
    <t xml:space="preserve">[Er&gt;</t>
  </si>
  <si>
    <t xml:space="preserve">[Er!</t>
  </si>
  <si>
    <t xml:space="preserve">[Er]</t>
  </si>
  <si>
    <t xml:space="preserve">&lt;¿</t>
  </si>
  <si>
    <t xml:space="preserve">&lt;¿e&gt;</t>
  </si>
  <si>
    <t xml:space="preserve">&lt;¿e!</t>
  </si>
  <si>
    <t xml:space="preserve">&lt;¿e]</t>
  </si>
  <si>
    <t xml:space="preserve">&lt;¿?&gt;</t>
  </si>
  <si>
    <t xml:space="preserve">&lt;¿?!</t>
  </si>
  <si>
    <t xml:space="preserve">&lt;¿?]</t>
  </si>
  <si>
    <t xml:space="preserve">&lt;¿r&gt;</t>
  </si>
  <si>
    <t xml:space="preserve">&lt;¿r!</t>
  </si>
  <si>
    <t xml:space="preserve">&lt;¿r]</t>
  </si>
  <si>
    <t xml:space="preserve">¡¿</t>
  </si>
  <si>
    <t xml:space="preserve">¡¿e&gt;</t>
  </si>
  <si>
    <t xml:space="preserve">¡¿e!</t>
  </si>
  <si>
    <t xml:space="preserve">¡¿e]</t>
  </si>
  <si>
    <t xml:space="preserve">¡¿?&gt;</t>
  </si>
  <si>
    <t xml:space="preserve">¡¿?]</t>
  </si>
  <si>
    <t xml:space="preserve">¡¿r&gt;</t>
  </si>
  <si>
    <t xml:space="preserve">¡¿r]</t>
  </si>
  <si>
    <t xml:space="preserve">[¿</t>
  </si>
  <si>
    <t xml:space="preserve">[¿e&gt;</t>
  </si>
  <si>
    <t xml:space="preserve">[¿e!</t>
  </si>
  <si>
    <t xml:space="preserve">[¿e]</t>
  </si>
  <si>
    <t xml:space="preserve">[¿?&gt;</t>
  </si>
  <si>
    <t xml:space="preserve">[¿?!</t>
  </si>
  <si>
    <t xml:space="preserve">[¿?]</t>
  </si>
  <si>
    <t xml:space="preserve">[¿r&gt;</t>
  </si>
  <si>
    <t xml:space="preserve">[¿r!</t>
  </si>
  <si>
    <t xml:space="preserve">[¿r]</t>
  </si>
  <si>
    <t xml:space="preserve">&lt;R</t>
  </si>
  <si>
    <t xml:space="preserve">&lt;Re&gt;</t>
  </si>
  <si>
    <t xml:space="preserve">&lt;Re!</t>
  </si>
  <si>
    <t xml:space="preserve">&lt;Re]</t>
  </si>
  <si>
    <t xml:space="preserve">&lt;R?&gt;</t>
  </si>
  <si>
    <t xml:space="preserve">&lt;R?!</t>
  </si>
  <si>
    <t xml:space="preserve">&lt;R?]</t>
  </si>
  <si>
    <t xml:space="preserve">&lt;Rr&gt;</t>
  </si>
  <si>
    <t xml:space="preserve">&lt;Rr!</t>
  </si>
  <si>
    <t xml:space="preserve">&lt;Rr]</t>
  </si>
  <si>
    <t xml:space="preserve">¡R</t>
  </si>
  <si>
    <t xml:space="preserve">¡Re&gt;</t>
  </si>
  <si>
    <t xml:space="preserve">¡Re!</t>
  </si>
  <si>
    <t xml:space="preserve">¡Re]</t>
  </si>
  <si>
    <t xml:space="preserve">¡R?&gt;</t>
  </si>
  <si>
    <t xml:space="preserve">¡R?]</t>
  </si>
  <si>
    <t xml:space="preserve">¡Rr&gt;</t>
  </si>
  <si>
    <t xml:space="preserve">[R</t>
  </si>
  <si>
    <t xml:space="preserve">[Re&gt;</t>
  </si>
  <si>
    <t xml:space="preserve">[Re!</t>
  </si>
  <si>
    <t xml:space="preserve">[Re]</t>
  </si>
  <si>
    <t xml:space="preserve">[R?&gt;</t>
  </si>
  <si>
    <t xml:space="preserve">[R?!</t>
  </si>
  <si>
    <t xml:space="preserve">[R?]</t>
  </si>
  <si>
    <t xml:space="preserve">[Rr&gt;</t>
  </si>
  <si>
    <t xml:space="preserve">► 1.06 TOPOGRAFÍA PONDERADA BREVE (MATRIZ C)</t>
  </si>
  <si>
    <t xml:space="preserve">Suma</t>
  </si>
  <si>
    <t xml:space="preserve">Media</t>
  </si>
  <si>
    <t xml:space="preserve">DT</t>
  </si>
  <si>
    <t xml:space="preserve">%</t>
  </si>
  <si>
    <t xml:space="preserve">1G1T1C
2.SMIa_Frec</t>
  </si>
  <si>
    <t xml:space="preserve">► 2.01 2.01: SMIa   SOCIOMATRIZ RELACIONAL INTEGRADA</t>
  </si>
  <si>
    <t xml:space="preserve">► 2.03 MATRIZ FRECUENCIAS</t>
  </si>
  <si>
    <t xml:space="preserve">► 2.04 REORDENACION SMIa NUMERALIZADA</t>
  </si>
  <si>
    <t xml:space="preserve">©</t>
  </si>
  <si>
    <t xml:space="preserve">► 2.05 TRANSFORMACION DIRECTA SMIa (nxn) -&gt; FIGURAS (9X9)</t>
  </si>
  <si>
    <t xml:space="preserve">► 2.06 CONCENTRACION DIRECTA</t>
  </si>
  <si>
    <t xml:space="preserve">suma</t>
  </si>
  <si>
    <t xml:space="preserve">Frec</t>
  </si>
  <si>
    <t xml:space="preserve">►25.</t>
  </si>
  <si>
    <t xml:space="preserve">►100%.</t>
  </si>
  <si>
    <t xml:space="preserve">► 2.09 DIFERENCIAS DE PORCENTAJES EN FIGURAS SOCIOMETRICAS AGRUPADAS</t>
  </si>
  <si>
    <t xml:space="preserve">ELECCIÓN</t>
  </si>
  <si>
    <t xml:space="preserve">INDIFERENCIA</t>
  </si>
  <si>
    <t xml:space="preserve">REPULSION</t>
  </si>
  <si>
    <t xml:space="preserve">Total</t>
  </si>
  <si>
    <t xml:space="preserve">% PREFERENCIAS</t>
  </si>
  <si>
    <t xml:space="preserve">% PERCEPCION</t>
  </si>
  <si>
    <t xml:space="preserve">1G1T1C
► 3.SMIa_Den</t>
  </si>
  <si>
    <t xml:space="preserve">► 3.01 SMIa Numerali</t>
  </si>
  <si>
    <t xml:space="preserve">1-1</t>
  </si>
  <si>
    <t xml:space="preserve">1-2</t>
  </si>
  <si>
    <t xml:space="preserve">1-3</t>
  </si>
  <si>
    <t xml:space="preserve">1-4</t>
  </si>
  <si>
    <t xml:space="preserve">1-5</t>
  </si>
  <si>
    <t xml:space="preserve">2-1</t>
  </si>
  <si>
    <t xml:space="preserve">2-2</t>
  </si>
  <si>
    <t xml:space="preserve">2-3</t>
  </si>
  <si>
    <t xml:space="preserve">2-4</t>
  </si>
  <si>
    <t xml:space="preserve">2-5</t>
  </si>
  <si>
    <t xml:space="preserve">3-1</t>
  </si>
  <si>
    <t xml:space="preserve">3-2</t>
  </si>
  <si>
    <t xml:space="preserve">3-3</t>
  </si>
  <si>
    <t xml:space="preserve">3-4</t>
  </si>
  <si>
    <t xml:space="preserve">3-5</t>
  </si>
  <si>
    <t xml:space="preserve">4-1</t>
  </si>
  <si>
    <t xml:space="preserve">4-2</t>
  </si>
  <si>
    <t xml:space="preserve">4-3</t>
  </si>
  <si>
    <t xml:space="preserve">4-4</t>
  </si>
  <si>
    <t xml:space="preserve">4-5</t>
  </si>
  <si>
    <t xml:space="preserve">5-1</t>
  </si>
  <si>
    <t xml:space="preserve">5-2</t>
  </si>
  <si>
    <t xml:space="preserve">5-3</t>
  </si>
  <si>
    <t xml:space="preserve">5-4</t>
  </si>
  <si>
    <t xml:space="preserve">5-5</t>
  </si>
  <si>
    <t xml:space="preserve">► 3.02 FIGURAS SOCIOM</t>
  </si>
  <si>
    <t xml:space="preserve">► 3.03 NUMERALIZACION</t>
  </si>
  <si>
    <t xml:space="preserve">► 3.04 TRANSFORMACION</t>
  </si>
  <si>
    <t xml:space="preserve">► 3.05 SUJETOS EN CADA CELDA</t>
  </si>
  <si>
    <t xml:space="preserve">FIGURA</t>
  </si>
  <si>
    <t xml:space="preserve">► 3.07 TRANSFORMACION INVERSA SMIa (nxn) -&gt; FIGURAS (9X9) FRECUENCIAS</t>
  </si>
  <si>
    <t xml:space="preserve">► 3.06 3x3 DIRECTA FRECUENCIAS</t>
  </si>
  <si>
    <t xml:space="preserve">► 3.08 3x3 INVERSA FRECUENCIAS</t>
  </si>
  <si>
    <t xml:space="preserve">###</t>
  </si>
  <si>
    <t xml:space="preserve">► 3.09 DENSIDAD DIRECTA A1</t>
  </si>
  <si>
    <t xml:space="preserve">► 3.11 DENSIDAD INVERSA A1</t>
  </si>
  <si>
    <t xml:space="preserve">µ/N</t>
  </si>
  <si>
    <t xml:space="preserve">► 3.10 3x3 DIRECTA A1</t>
  </si>
  <si>
    <t xml:space="preserve">► 3.12 3x3 INVERSA A1</t>
  </si>
  <si>
    <t xml:space="preserve">► 3.13 DENSIDAD DIRECTA A2</t>
  </si>
  <si>
    <t xml:space="preserve">► 3.15 DENSIDAD INVERSA A2</t>
  </si>
  <si>
    <t xml:space="preserve">► 3.14 3x3 DIRECTA A2</t>
  </si>
  <si>
    <t xml:space="preserve">► 3.16 3x3 INVERSA A2</t>
  </si>
  <si>
    <t xml:space="preserve">► 3.17 DENSIDAD DIRECTA A3</t>
  </si>
  <si>
    <t xml:space="preserve">► 3.19 DENSIDAD INVERSA A3</t>
  </si>
  <si>
    <t xml:space="preserve">► 3.18 3x3 DIRECTA A3</t>
  </si>
  <si>
    <t xml:space="preserve">► 3.20 3x3 INVERSA A3</t>
  </si>
  <si>
    <t xml:space="preserve">► 3.21 DENSIDAD DIRECTA A4</t>
  </si>
  <si>
    <t xml:space="preserve">► 3.23 DENSIDAD INVERSA A4</t>
  </si>
  <si>
    <t xml:space="preserve">► 3.22 3x3 DIRECTA A4</t>
  </si>
  <si>
    <t xml:space="preserve">► 3.24 3x3 INVERSA A4</t>
  </si>
  <si>
    <t xml:space="preserve">► 3.25 DENSIDAD DIRECTA S.D.A</t>
  </si>
  <si>
    <t xml:space="preserve">► 3.27 DENSIDAD INVERSA S.D.A</t>
  </si>
  <si>
    <t xml:space="preserve">► 3.26 3x3 DIRECTA S.D.A</t>
  </si>
  <si>
    <t xml:space="preserve">► 3.28 3x3 INVERSA S.D.A</t>
  </si>
  <si>
    <t xml:space="preserve">► 3.29 DENSIDAD DIRECTA S.R.C</t>
  </si>
  <si>
    <t xml:space="preserve">► 3.31 DENSIDAD INVERSA S.R.C</t>
  </si>
  <si>
    <t xml:space="preserve">► 3.30 3x3 DIRECTA S.R.C</t>
  </si>
  <si>
    <t xml:space="preserve">► 3.32 3x3 INVERSA S.R.C</t>
  </si>
  <si>
    <t xml:space="preserve">► 3.33 DENSIDAD DIRECTA S.D.R</t>
  </si>
  <si>
    <t xml:space="preserve">► 3.35 DENSIDAD INVERSA S.D.R</t>
  </si>
  <si>
    <t xml:space="preserve">► 3.34 3x3 DIRECTA S.D.R</t>
  </si>
  <si>
    <t xml:space="preserve">► 3.36 3x3 INVERSA S.D.R</t>
  </si>
  <si>
    <t xml:space="preserve">► 3.37 DENSIDAD DIRECTA B.D.A</t>
  </si>
  <si>
    <t xml:space="preserve">► 3.39 DENSIDAD INVERSA B.D.A</t>
  </si>
  <si>
    <t xml:space="preserve">► 3.38 3x3 DIRECTA B.D.A</t>
  </si>
  <si>
    <t xml:space="preserve">► 3.40 3x3 INVERSA B.D.A</t>
  </si>
  <si>
    <t xml:space="preserve">► 3.41 DENSIDAD DIRECTA B.R.C</t>
  </si>
  <si>
    <t xml:space="preserve">► 3.43 DENSIDAD INVERSA B.R.C</t>
  </si>
  <si>
    <t xml:space="preserve">► 3.42 3x3 DIRECTA B.R.C</t>
  </si>
  <si>
    <t xml:space="preserve">► 3.44 3x3 INVERSA B.R.C</t>
  </si>
  <si>
    <t xml:space="preserve">► 3.45 DENSIDAD DIRECTA B.D.R</t>
  </si>
  <si>
    <t xml:space="preserve">► 3.47 DENSIDAD INVERSA B.D.R</t>
  </si>
  <si>
    <t xml:space="preserve">► 3.46 3x3 DIRECTA B.D.R</t>
  </si>
  <si>
    <t xml:space="preserve">► 3.48 3x3 INVERSA B.D.R</t>
  </si>
  <si>
    <t xml:space="preserve">► 3.49 RESUMEN DENSIDADES (Promedio N)</t>
  </si>
  <si>
    <t xml:space="preserve">► 3.50 RESUMEN DENSIDADES (Promedio N)</t>
  </si>
  <si>
    <t xml:space="preserve">A1</t>
  </si>
  <si>
    <t xml:space="preserve">A2</t>
  </si>
  <si>
    <t xml:space="preserve">A3</t>
  </si>
  <si>
    <t xml:space="preserve">A4</t>
  </si>
  <si>
    <t xml:space="preserve">SDA</t>
  </si>
  <si>
    <t xml:space="preserve">SRC</t>
  </si>
  <si>
    <t xml:space="preserve">SDR</t>
  </si>
  <si>
    <t xml:space="preserve">BDA</t>
  </si>
  <si>
    <t xml:space="preserve">BRC</t>
  </si>
  <si>
    <t xml:space="preserve">BDR</t>
  </si>
  <si>
    <t xml:space="preserve">► 3.51 RESUMEN % DENSIDADES</t>
  </si>
  <si>
    <t xml:space="preserve">► 3.52 RESUMEN % DENSIDADES</t>
  </si>
  <si>
    <t xml:space="preserve">► 3.53 RESUMEN INVERSO DENSIDADES (Promedio N)</t>
  </si>
  <si>
    <t xml:space="preserve">► 3.54 RESUMEN INVERSO DENSIDADES</t>
  </si>
  <si>
    <t xml:space="preserve">► 3.55 RESUMEN INVERSO % DENSIDADES</t>
  </si>
  <si>
    <t xml:space="preserve">► 3.56 RESUMEN INVERSO % DENSIDADES</t>
  </si>
  <si>
    <t xml:space="preserve">1G1T1C
DENSIDAD RELACIONAL</t>
  </si>
  <si>
    <t xml:space="preserve">► TABLA MAESTRA SÍNTESIS DENSIDAD RELACIONAL</t>
  </si>
  <si>
    <t xml:space="preserve">A1+A2</t>
  </si>
  <si>
    <t xml:space="preserve">SRC-SDA</t>
  </si>
  <si>
    <t xml:space="preserve">A3+A4</t>
  </si>
  <si>
    <t xml:space="preserve">SDA+SRC</t>
  </si>
  <si>
    <t xml:space="preserve">|A1|+|A2|</t>
  </si>
  <si>
    <t xml:space="preserve">BRC-BDA</t>
  </si>
  <si>
    <t xml:space="preserve">|A3|+|A4|</t>
  </si>
  <si>
    <t xml:space="preserve">BDA+BRC</t>
  </si>
  <si>
    <t xml:space="preserve">BDR-SDR</t>
  </si>
  <si>
    <t xml:space="preserve">1g1t2c</t>
  </si>
  <si>
    <t xml:space="preserve">Dif</t>
  </si>
  <si>
    <t xml:space="preserve">Dif_DR</t>
  </si>
  <si>
    <t xml:space="preserve">► 4.01 GRUPO A1-A4  pE/R,  E/R,  e/r, pe/r</t>
  </si>
  <si>
    <t xml:space="preserve">► 4.02 RESUMEN DE DENSIDADES</t>
  </si>
  <si>
    <t xml:space="preserve">SUMA</t>
  </si>
  <si>
    <t xml:space="preserve">MEDIA</t>
  </si>
  <si>
    <t xml:space="preserve">%_PESO</t>
  </si>
  <si>
    <t xml:space="preserve">RESUMEN</t>
  </si>
  <si>
    <t xml:space="preserve">T_COL</t>
  </si>
  <si>
    <t xml:space="preserve">Media_C</t>
  </si>
  <si>
    <t xml:space="preserve">DT_C</t>
  </si>
  <si>
    <t xml:space="preserve">Diferencia</t>
  </si>
  <si>
    <t xml:space="preserve">► 4.03 GRUPO   SDA  SRC SDR  DENSIDAD RELACIONAL  DADA:   EMITIDA / RECIBIDA / TOTAL  VALORATIVA</t>
  </si>
  <si>
    <t xml:space="preserve">► 4.04 RESUMEN DE DENSIDADES</t>
  </si>
  <si>
    <t xml:space="preserve">► 4.05 GRUPO   BDA  BRC BDR  DENSIDAD RELACIONAL  BASE   EMITIDA / RECIBIDA / TOTAL  GRAVEDAD_R</t>
  </si>
  <si>
    <t xml:space="preserve">► 4.06 RESUMEN DE DENSIDADES</t>
  </si>
  <si>
    <t xml:space="preserve">► 4.07 COLECCIÓN DE MATRICES 9x9 DE CENTROIDES DE DENSIDAD SEGÚN FIGURAS RELACIONALES Q81</t>
  </si>
  <si>
    <t xml:space="preserve">► 4.08 MATRIZ 9x9 CENTROIDES DE DENSIDAD A1 (EXPECTATIVA EMITIDA)</t>
  </si>
  <si>
    <t xml:space="preserve">© A1</t>
  </si>
  <si>
    <t xml:space="preserve">3.70*</t>
  </si>
  <si>
    <t xml:space="preserve">1.26*</t>
  </si>
  <si>
    <t xml:space="preserve">i¿</t>
  </si>
  <si>
    <t xml:space="preserve">0.00</t>
  </si>
  <si>
    <t xml:space="preserve">-0.63</t>
  </si>
  <si>
    <t xml:space="preserve">-0.71</t>
  </si>
  <si>
    <t xml:space="preserve">-1.26</t>
  </si>
  <si>
    <t xml:space="preserve">-2.45</t>
  </si>
  <si>
    <t xml:space="preserve">-2.97</t>
  </si>
  <si>
    <t xml:space="preserve">-3.20*</t>
  </si>
  <si>
    <t xml:space="preserve">► 4.09 MATRIZ 9x9 CENTROIDES DE DENSIDAD A2 (PREFERENCIA EFECTIVA EMITIDA)</t>
  </si>
  <si>
    <t xml:space="preserve">© A2</t>
  </si>
  <si>
    <t xml:space="preserve">2.63*</t>
  </si>
  <si>
    <t xml:space="preserve">-0.27*</t>
  </si>
  <si>
    <t xml:space="preserve">-2.57</t>
  </si>
  <si>
    <t xml:space="preserve">-2.72</t>
  </si>
  <si>
    <t xml:space="preserve">-3.03</t>
  </si>
  <si>
    <t xml:space="preserve">-3.02</t>
  </si>
  <si>
    <t xml:space="preserve">-3.21*</t>
  </si>
  <si>
    <t xml:space="preserve">► 4.10 MATRIZ 9x9 CENTROIDES DE DENSIDAD A3 (PREFERENCIA EFECTIVA RECIBIDA)</t>
  </si>
  <si>
    <t xml:space="preserve">© A3</t>
  </si>
  <si>
    <t xml:space="preserve">-2.62</t>
  </si>
  <si>
    <t xml:space="preserve">-2.78</t>
  </si>
  <si>
    <t xml:space="preserve">-2.92</t>
  </si>
  <si>
    <t xml:space="preserve">► 4.11 MATRIZ 9x9 CENTROIDES DE DENSIDAD A4 (EXPECTATIVA PERCIBIDA)</t>
  </si>
  <si>
    <t xml:space="preserve">© A4</t>
  </si>
  <si>
    <t xml:space="preserve">-2.86</t>
  </si>
  <si>
    <t xml:space="preserve">-2.69</t>
  </si>
  <si>
    <t xml:space="preserve">► 4.12 MATRIZ 9x9 CENTROIDES DE DENSIDAD SDA (SUMA DENSIDAD RELATIVA DADA: A1 + A2)</t>
  </si>
  <si>
    <t xml:space="preserve">© SDA</t>
  </si>
  <si>
    <t xml:space="preserve">6.33*</t>
  </si>
  <si>
    <t xml:space="preserve">0.99*</t>
  </si>
  <si>
    <t xml:space="preserve">-3.28</t>
  </si>
  <si>
    <t xml:space="preserve">-3.98</t>
  </si>
  <si>
    <t xml:space="preserve">-5.48</t>
  </si>
  <si>
    <t xml:space="preserve">-5.99</t>
  </si>
  <si>
    <t xml:space="preserve">-6.41*</t>
  </si>
  <si>
    <t xml:space="preserve">► 4.13 MATRIZ 9x9 CENTROIDES DE DENSIDAD SRC (SUMA DENSIDAD RELATIVA RECIBIDA: A3 + A4)</t>
  </si>
  <si>
    <t xml:space="preserve">© SRC</t>
  </si>
  <si>
    <t xml:space="preserve">-3.25</t>
  </si>
  <si>
    <t xml:space="preserve">-1.42</t>
  </si>
  <si>
    <t xml:space="preserve">-4.04</t>
  </si>
  <si>
    <t xml:space="preserve">-5.78</t>
  </si>
  <si>
    <t xml:space="preserve">-5.71</t>
  </si>
  <si>
    <t xml:space="preserve">-6.42*</t>
  </si>
  <si>
    <t xml:space="preserve">► 4.14 MATRIZ 9x9 CENTROIDES DE DENSIDAD SDR (DENSIDAD RELATIVA TOTAL: SDA + SRC)</t>
  </si>
  <si>
    <t xml:space="preserve">SDR G1</t>
  </si>
  <si>
    <t xml:space="preserve">12.67*</t>
  </si>
  <si>
    <t xml:space="preserve">1.98*</t>
  </si>
  <si>
    <t xml:space="preserve">-4.51</t>
  </si>
  <si>
    <t xml:space="preserve">-4.70</t>
  </si>
  <si>
    <t xml:space="preserve">-8.02</t>
  </si>
  <si>
    <t xml:space="preserve">-11.26</t>
  </si>
  <si>
    <t xml:space="preserve">-11.70</t>
  </si>
  <si>
    <t xml:space="preserve">-12.83*</t>
  </si>
  <si>
    <t xml:space="preserve">► 4.15 MATRIZ 9x9 CENTROIDES DE DENSIDAD BDA (DENSIDAD ABSOLUTA DADA: |A1| + |A2|)</t>
  </si>
  <si>
    <t xml:space="preserve">© BDA</t>
  </si>
  <si>
    <t xml:space="preserve">1.53*</t>
  </si>
  <si>
    <t xml:space="preserve">1.26</t>
  </si>
  <si>
    <t xml:space="preserve">3.28</t>
  </si>
  <si>
    <t xml:space="preserve">3.98</t>
  </si>
  <si>
    <t xml:space="preserve">5.48</t>
  </si>
  <si>
    <t xml:space="preserve">5.99</t>
  </si>
  <si>
    <t xml:space="preserve">6.41*</t>
  </si>
  <si>
    <t xml:space="preserve">► 4.16 MATRIZ 9x9 CENTROIDES DE DENSIDAD BRC (DENSIDAD ABSOLUTA RECIBIDA: |A3| + |A4|)</t>
  </si>
  <si>
    <t xml:space="preserve">© BRC</t>
  </si>
  <si>
    <t xml:space="preserve">3.25</t>
  </si>
  <si>
    <t xml:space="preserve">1.42</t>
  </si>
  <si>
    <t xml:space="preserve">4.04</t>
  </si>
  <si>
    <t xml:space="preserve">5.78</t>
  </si>
  <si>
    <t xml:space="preserve">5.71</t>
  </si>
  <si>
    <t xml:space="preserve">6.42*</t>
  </si>
  <si>
    <t xml:space="preserve">► 4.17 MATRIZ 9x9 CENTROIDES DE DENSIDAD BDR (DENSIDAD ABSOLUTA TOTAL: BDA + BRC)</t>
  </si>
  <si>
    <t xml:space="preserve">© BDR</t>
  </si>
  <si>
    <t xml:space="preserve">3.06*</t>
  </si>
  <si>
    <t xml:space="preserve">4.51</t>
  </si>
  <si>
    <t xml:space="preserve">4.70</t>
  </si>
  <si>
    <t xml:space="preserve">8.02</t>
  </si>
  <si>
    <t xml:space="preserve">11.26</t>
  </si>
  <si>
    <t xml:space="preserve">11.70</t>
  </si>
  <si>
    <t xml:space="preserve">12.83*</t>
  </si>
  <si>
    <t xml:space="preserve">► 4.18 MATRIZ DE FRECUENCIAS ACUMULADAS K (CONTEO DE PARES POR CELDA Q81)</t>
  </si>
  <si>
    <t xml:space="preserve">K (9x9)</t>
  </si>
  <si>
    <t xml:space="preserve">► 4.19 MATRIZ MACRO (3x3) DE FRECUENCIAS ACUMULADAS K</t>
  </si>
  <si>
    <t xml:space="preserve">K (3x3)</t>
  </si>
  <si>
    <t xml:space="preserve">► 4.20 COLECCIÓN DE MATRICES MACRO (3x3) DE CENTROIDES DE DENSIDAD CON MARGINALES</t>
  </si>
  <si>
    <t xml:space="preserve">► 4.21 MATRIZ MACRO (3x3) CENTROIDES DE DENSIDAD A1 (EXPECTATIVA EMITIDA)</t>
  </si>
  <si>
    <t xml:space="preserve">dt</t>
  </si>
  <si>
    <t xml:space="preserve">► 4.22 MATRIZ MACRO (3x3) CENTROIDES DE DENSIDAD A2 (PREFERENCIA EFECTIVA EMITIDA)</t>
  </si>
  <si>
    <t xml:space="preserve">► 4.23 MATRIZ MACRO (3x3) CENTROIDES DE DENSIDAD A3 (PREFERENCIA EFECTIVA RECIBIDA)</t>
  </si>
  <si>
    <t xml:space="preserve">► 4.24 MATRIZ MACRO (3x3) CENTROIDES DE DENSIDAD A4 (EXPECTATIVA PERCIBIDA)</t>
  </si>
  <si>
    <t xml:space="preserve">► 4.25 MATRIZ MACRO (3x3) CENTROIDES DE DENSIDAD SDA (SUMA DENSIDAD RELATIVA DADA: A1 + A2)</t>
  </si>
  <si>
    <t xml:space="preserve">► 4.26 MATRIZ MACRO (3x3) CENTROIDES DE DENSIDAD SRC (SUMA DENSIDAD RELATIVA RECIBIDA: A3 + A4)</t>
  </si>
  <si>
    <t xml:space="preserve">SRC G1</t>
  </si>
  <si>
    <t xml:space="preserve">► 4.27 MATRIZ MACRO (3x3) CENTROIDES DE DENSIDAD SDR (DENSIDAD RELATIVA TOTAL: SDA + SRC)</t>
  </si>
  <si>
    <t xml:space="preserve">© SDR</t>
  </si>
  <si>
    <t xml:space="preserve">► 4.28 MATRIZ MACRO (3x3) CENTROIDES DE DENSIDAD BDA (DENSIDAD ABSOLUTA DADA: |A1| + |A2|)</t>
  </si>
  <si>
    <t xml:space="preserve">► 4.29 MATRIZ MACRO (3x3) CENTROIDES DE DENSIDAD BRC (DENSIDAD ABSOLUTA RECIBIDA: |A3| + |A4|)</t>
  </si>
  <si>
    <t xml:space="preserve">► 4.30 MATRIZ MACRO (3x3) CENTROIDES DE DENSIDAD BDR (DENSIDAD ABSOLUTA TOTAL: BDA + BRC)</t>
  </si>
  <si>
    <t xml:space="preserve">► 4.31 MATRIZ DE SÍNTESIS MULTIVARIANTE FACTORIAL (10 FILAS METRICAS x 9 COLUMNAS MACRO-ZONAS Q81)</t>
  </si>
  <si>
    <t xml:space="preserve">Métrica / Macro-Zona</t>
  </si>
  <si>
    <t xml:space="preserve">E?</t>
  </si>
  <si>
    <t xml:space="preserve">¿e</t>
  </si>
  <si>
    <t xml:space="preserve">¿r</t>
  </si>
  <si>
    <t xml:space="preserve">R?</t>
  </si>
  <si>
    <t xml:space="preserve">2.59 (11)*</t>
  </si>
  <si>
    <t xml:space="preserve">-2.59 (8)*</t>
  </si>
  <si>
    <t xml:space="preserve">1.31 (11)*</t>
  </si>
  <si>
    <t xml:space="preserve">-3.04 (8)*</t>
  </si>
  <si>
    <t xml:space="preserve">-2.61 (8)*</t>
  </si>
  <si>
    <t xml:space="preserve">3.90 (11)*</t>
  </si>
  <si>
    <t xml:space="preserve">-5.63 (8)*</t>
  </si>
  <si>
    <t xml:space="preserve">-5.65 (8)*</t>
  </si>
  <si>
    <t xml:space="preserve">7.81 (11)*</t>
  </si>
  <si>
    <t xml:space="preserve">-11.29 (8)*</t>
  </si>
  <si>
    <t xml:space="preserve">4.15 (11)*</t>
  </si>
  <si>
    <t xml:space="preserve">5.63 (8)*</t>
  </si>
  <si>
    <t xml:space="preserve">5.65 (8)*</t>
  </si>
  <si>
    <t xml:space="preserve">8.30 (11)*</t>
  </si>
  <si>
    <t xml:space="preserve">11.29 (8)*</t>
  </si>
  <si>
    <t xml:space="preserve">Tabla 7 MATRIZ DE SÍNTESIS FACTORIAL</t>
  </si>
  <si>
    <t xml:space="preserve">MACRO</t>
  </si>
  <si>
    <t xml:space="preserve">MESO</t>
  </si>
  <si>
    <t xml:space="preserve">MICRO</t>
  </si>
  <si>
    <t xml:space="preserve">2.59*</t>
  </si>
  <si>
    <t xml:space="preserve">-0.35*</t>
  </si>
  <si>
    <t xml:space="preserve">-2.20*</t>
  </si>
  <si>
    <t xml:space="preserve">-2.59*</t>
  </si>
  <si>
    <t xml:space="preserve">1.31*</t>
  </si>
  <si>
    <t xml:space="preserve">-1.28*</t>
  </si>
  <si>
    <t xml:space="preserve">-2.56*</t>
  </si>
  <si>
    <t xml:space="preserve">-3.04*</t>
  </si>
  <si>
    <t xml:space="preserve">-2.96*</t>
  </si>
  <si>
    <t xml:space="preserve">-2.21*</t>
  </si>
  <si>
    <t xml:space="preserve">-2.61*</t>
  </si>
  <si>
    <t xml:space="preserve">3.90*</t>
  </si>
  <si>
    <t xml:space="preserve">-1.64*</t>
  </si>
  <si>
    <t xml:space="preserve">-4.76*</t>
  </si>
  <si>
    <t xml:space="preserve">-5.63*</t>
  </si>
  <si>
    <t xml:space="preserve">-0.71*</t>
  </si>
  <si>
    <t xml:space="preserve">-5.17*</t>
  </si>
  <si>
    <t xml:space="preserve">-5.65*</t>
  </si>
  <si>
    <t xml:space="preserve">7.81*</t>
  </si>
  <si>
    <t xml:space="preserve">-2.35*</t>
  </si>
  <si>
    <t xml:space="preserve">-9.93*</t>
  </si>
  <si>
    <t xml:space="preserve">-11.29*</t>
  </si>
  <si>
    <t xml:space="preserve">4.15*</t>
  </si>
  <si>
    <t xml:space="preserve">1.64*</t>
  </si>
  <si>
    <t xml:space="preserve">4.76*</t>
  </si>
  <si>
    <t xml:space="preserve">5.63*</t>
  </si>
  <si>
    <t xml:space="preserve">0.71*</t>
  </si>
  <si>
    <t xml:space="preserve">5.17*</t>
  </si>
  <si>
    <t xml:space="preserve">5.65*</t>
  </si>
  <si>
    <t xml:space="preserve">8.30*</t>
  </si>
  <si>
    <t xml:space="preserve">2.35*</t>
  </si>
  <si>
    <t xml:space="preserve">9.93*</t>
  </si>
  <si>
    <t xml:space="preserve">11.29*</t>
  </si>
  <si>
    <t xml:space="preserve">► 4.33 PARÁMETROS ESTADÍSTICOS DE REFERENCIA LOCAL (SIGMAS INTRA-GRUPO Y UMBRALES DE DISPARO IA)</t>
  </si>
  <si>
    <t xml:space="preserve">Métrica</t>
  </si>
  <si>
    <t xml:space="preserve">Media_μ_Local</t>
  </si>
  <si>
    <t xml:space="preserve">Desv_σ_Local</t>
  </si>
  <si>
    <t xml:space="preserve">Umbral_1.5σ (K&gt;2)*</t>
  </si>
  <si>
    <t xml:space="preserve">Umbral_2.0σ (K=1,2)</t>
  </si>
  <si>
    <t xml:space="preserve">≥ 4.07</t>
  </si>
  <si>
    <t xml:space="preserve">≥ 5.36</t>
  </si>
  <si>
    <t xml:space="preserve">≥ 2.74</t>
  </si>
  <si>
    <t xml:space="preserve">≥ 3.87</t>
  </si>
  <si>
    <t xml:space="preserve">≥ 5.37</t>
  </si>
  <si>
    <t xml:space="preserve">≥ 6.75</t>
  </si>
  <si>
    <t xml:space="preserve">≥ 9.15</t>
  </si>
  <si>
    <t xml:space="preserve">≥ 6.74</t>
  </si>
  <si>
    <t xml:space="preserve">≥ 9.14</t>
  </si>
  <si>
    <t xml:space="preserve">≥ 13.44</t>
  </si>
  <si>
    <t xml:space="preserve">≥ 18.22</t>
  </si>
  <si>
    <t xml:space="preserve">≥ 8.11</t>
  </si>
  <si>
    <t xml:space="preserve">≥ 9.49</t>
  </si>
  <si>
    <t xml:space="preserve">≥ 9.48</t>
  </si>
  <si>
    <t xml:space="preserve">≥ 16.14</t>
  </si>
  <si>
    <t xml:space="preserve">≥ 18.86</t>
  </si>
  <si>
    <t xml:space="preserve">1G1T1C
PRISMAS RELACIONALES Y MATRICES DE DIFRACCIÓN 9x9</t>
  </si>
  <si>
    <t xml:space="preserve">► 5.01 MATRIZ DE DIFRACCIÓN NETA 1 (9x9): ASIMETRÍA DE FLUIDO NETO (SRC - SDA)</t>
  </si>
  <si>
    <t xml:space="preserve">Figura / Eje</t>
  </si>
  <si>
    <t xml:space="preserve">► 5.02 MATRIZ DE DIFRACCIÓN BRUTA 2 (9x9): ASIMETRÍA DE FLUIDO BRUTO (BRC - BDA)</t>
  </si>
  <si>
    <t xml:space="preserve">► 5.03 MATRIZ DE DIFRACCIÓN DE EXPECTATIVAS 3 (9x9): DESCALCE DE SINTONÍA (A4 - A1)</t>
  </si>
  <si>
    <t xml:space="preserve">► 5.04 PRISMA INDIVIDUAL 1 (N x 9)</t>
  </si>
  <si>
    <t xml:space="preserve">► 5.10 RESUMEN SÍNTESIS DE PRISMAS TOTALES</t>
  </si>
  <si>
    <t xml:space="preserve">PRISMA1</t>
  </si>
  <si>
    <t xml:space="preserve">&lt;E..</t>
  </si>
  <si>
    <t xml:space="preserve">&lt;¿..</t>
  </si>
  <si>
    <t xml:space="preserve">&lt;R..</t>
  </si>
  <si>
    <t xml:space="preserve">¡E..</t>
  </si>
  <si>
    <t xml:space="preserve">¡¿..</t>
  </si>
  <si>
    <t xml:space="preserve">¡R..</t>
  </si>
  <si>
    <t xml:space="preserve">[E..</t>
  </si>
  <si>
    <t xml:space="preserve">[¿..</t>
  </si>
  <si>
    <t xml:space="preserve">[R..</t>
  </si>
  <si>
    <t xml:space="preserve">PRISMA2</t>
  </si>
  <si>
    <t xml:space="preserve">PRISMA3</t>
  </si>
  <si>
    <t xml:space="preserve">PRISMA4</t>
  </si>
  <si>
    <t xml:space="preserve">PRISMA5</t>
  </si>
  <si>
    <t xml:space="preserve">PRISMA6</t>
  </si>
  <si>
    <t xml:space="preserve">► 5.05 PRISMA INDIVIDUAL 2 (N x 9)</t>
  </si>
  <si>
    <t xml:space="preserve">..e&gt;</t>
  </si>
  <si>
    <t xml:space="preserve">..?&gt;</t>
  </si>
  <si>
    <t xml:space="preserve">..r&gt;</t>
  </si>
  <si>
    <t xml:space="preserve">..e!</t>
  </si>
  <si>
    <t xml:space="preserve">..?!</t>
  </si>
  <si>
    <t xml:space="preserve">..r!</t>
  </si>
  <si>
    <t xml:space="preserve">..e]</t>
  </si>
  <si>
    <t xml:space="preserve">..?]</t>
  </si>
  <si>
    <t xml:space="preserve">..r]</t>
  </si>
  <si>
    <t xml:space="preserve">► 5.06 PRISMA INDIVIDUAL 3 (N x 9)</t>
  </si>
  <si>
    <t xml:space="preserve">&lt;.e.</t>
  </si>
  <si>
    <t xml:space="preserve">&lt;.?.</t>
  </si>
  <si>
    <t xml:space="preserve">&lt;.r.</t>
  </si>
  <si>
    <t xml:space="preserve">¡.e.</t>
  </si>
  <si>
    <t xml:space="preserve">¡.?.</t>
  </si>
  <si>
    <t xml:space="preserve">¡.r.</t>
  </si>
  <si>
    <t xml:space="preserve">[.e.</t>
  </si>
  <si>
    <t xml:space="preserve">[.?.</t>
  </si>
  <si>
    <t xml:space="preserve">[.r.</t>
  </si>
  <si>
    <t xml:space="preserve">► 5.07 PRISMA INDIVIDUAL 4 (N x 9)</t>
  </si>
  <si>
    <t xml:space="preserve">.E.&gt;</t>
  </si>
  <si>
    <t xml:space="preserve">.¿.&gt;</t>
  </si>
  <si>
    <t xml:space="preserve">.R.&gt;</t>
  </si>
  <si>
    <t xml:space="preserve">.E.!</t>
  </si>
  <si>
    <t xml:space="preserve">.¿.!</t>
  </si>
  <si>
    <t xml:space="preserve">.R.!</t>
  </si>
  <si>
    <t xml:space="preserve">.E.]</t>
  </si>
  <si>
    <t xml:space="preserve">.¿.]</t>
  </si>
  <si>
    <t xml:space="preserve">.R.]</t>
  </si>
  <si>
    <t xml:space="preserve">► 5.08 PRISMA INDIVIDUAL 5 (N x 9)</t>
  </si>
  <si>
    <t xml:space="preserve">&lt;..&gt;</t>
  </si>
  <si>
    <t xml:space="preserve">&lt;..!</t>
  </si>
  <si>
    <t xml:space="preserve">&lt;..]</t>
  </si>
  <si>
    <t xml:space="preserve">¡..&gt;</t>
  </si>
  <si>
    <t xml:space="preserve">¡..!</t>
  </si>
  <si>
    <t xml:space="preserve">¡..]</t>
  </si>
  <si>
    <t xml:space="preserve">[..&gt;</t>
  </si>
  <si>
    <t xml:space="preserve">[..!</t>
  </si>
  <si>
    <t xml:space="preserve">[..]</t>
  </si>
  <si>
    <t xml:space="preserve">► 5.09 PRISMA INDIVIDUAL 6 (N x 9)</t>
  </si>
  <si>
    <t xml:space="preserve">.Ee.</t>
  </si>
  <si>
    <t xml:space="preserve">.E?.</t>
  </si>
  <si>
    <t xml:space="preserve">.Er.</t>
  </si>
  <si>
    <t xml:space="preserve">.¿e.</t>
  </si>
  <si>
    <t xml:space="preserve">.¿?.</t>
  </si>
  <si>
    <t xml:space="preserve">.¿r.</t>
  </si>
  <si>
    <t xml:space="preserve">.Re.</t>
  </si>
  <si>
    <t xml:space="preserve">.R?.</t>
  </si>
  <si>
    <t xml:space="preserve">.Rr.</t>
  </si>
  <si>
    <t xml:space="preserve">1G1T1C
RECIPROCIDAD DE FIGURAS RELACIONALES MÚTUAS</t>
  </si>
  <si>
    <t xml:space="preserve">► 6.00 RESUMEN SÍNTESIS DE VALENCIAS MÚTUAS Y CALIBRACIÓN DE DENSIDAD SDR</t>
  </si>
  <si>
    <t xml:space="preserve">Métrica / Valencia Mútua</t>
  </si>
  <si>
    <t xml:space="preserve">Símbolo Canónico</t>
  </si>
  <si>
    <t xml:space="preserve">Conteo / Valor Promedio</t>
  </si>
  <si>
    <t xml:space="preserve">% Total / Calibración</t>
  </si>
  <si>
    <t xml:space="preserve">Reciprocidad Positiva (Afinidad Mútua)</t>
  </si>
  <si>
    <t xml:space="preserve">Reciprocidad Neutra (Indiferencia Mútua)</t>
  </si>
  <si>
    <t xml:space="preserve">Reciprocidad Negativa (Rechazo Mútuo)</t>
  </si>
  <si>
    <t xml:space="preserve">Centroide SDR (Masa Total de Figuras Recíprocas)</t>
  </si>
  <si>
    <t xml:space="preserve">μ_SDR</t>
  </si>
  <si>
    <t xml:space="preserve">► 6.01 SÍNTESIS DE RECIPROCIDAD Y CENTROIDE SDR POR SUJETO</t>
  </si>
  <si>
    <t xml:space="preserve">Centroide SDR (Sujeto)</t>
  </si>
  <si>
    <t xml:space="preserve">Mútuos Positivos Ee (%)</t>
  </si>
  <si>
    <t xml:space="preserve">Mútuos Neutros ¿? (%)</t>
  </si>
  <si>
    <t xml:space="preserve">Mútuos Negativos Rr (%)</t>
  </si>
  <si>
    <t xml:space="preserve">Total Reciprocidad (%)</t>
  </si>
  <si>
    <t xml:space="preserve">1G1T1C
► 7.01 CENTROIDES DE DENSIDAD POR MODALIDAD</t>
  </si>
  <si>
    <t xml:space="preserve">► 7.01 VARIABLES COMPLEMENTARIAS</t>
  </si>
  <si>
    <t xml:space="preserve">► 7.02 DESCRIPCION DE VARIABLES COMPLEMENTARIAS</t>
  </si>
  <si>
    <t xml:space="preserve">VARIABLE</t>
  </si>
  <si>
    <t xml:space="preserve">Modalidad</t>
  </si>
  <si>
    <t xml:space="preserve">n_sujetos</t>
  </si>
  <si>
    <t xml:space="preserve">SINTONIA</t>
  </si>
  <si>
    <t xml:space="preserve">VAR</t>
  </si>
  <si>
    <t xml:space="preserve">NOM</t>
  </si>
  <si>
    <t xml:space="preserve">N_mod</t>
  </si>
  <si>
    <t xml:space="preserve">► 7.04 HISTOGRAMA DE DISTRIBUCION DE LAS VARIABLES COMPLEMENTARIAS EN EL GRUPO TOTAL</t>
  </si>
  <si>
    <t xml:space="preserve">MIN</t>
  </si>
  <si>
    <t xml:space="preserve">VAL</t>
  </si>
  <si>
    <t xml:space="preserve">MAX</t>
  </si>
  <si>
    <t xml:space="preserve">VAR_</t>
  </si>
  <si>
    <t xml:space="preserve">► 7.05 GRAFICA DE DISPERSION DE CENTROIDES DE LAS MODALIDADES EN EL GRUPO TOTAL</t>
  </si>
  <si>
    <t xml:space="preserve">1G1T1C
► 8.01 DISTRIBUCION DE ADJETIVOS (AAG)</t>
  </si>
  <si>
    <t xml:space="preserve">► 8.01 AAG DICOTOMICA DENSIDAD RELACIONAL</t>
  </si>
  <si>
    <t xml:space="preserve">Categoría</t>
  </si>
  <si>
    <t xml:space="preserve">+ / -</t>
  </si>
  <si>
    <t xml:space="preserve">sujetos</t>
  </si>
  <si>
    <t xml:space="preserve">Valor Adjetivo</t>
  </si>
  <si>
    <t xml:space="preserve">+sx</t>
  </si>
  <si>
    <t xml:space="preserve">+</t>
  </si>
  <si>
    <t xml:space="preserve">-sx</t>
  </si>
  <si>
    <t xml:space="preserve">-</t>
  </si>
  <si>
    <t xml:space="preserve">+ed</t>
  </si>
  <si>
    <t xml:space="preserve">-ed</t>
  </si>
  <si>
    <t xml:space="preserve">+ec</t>
  </si>
  <si>
    <t xml:space="preserve">-ec</t>
  </si>
  <si>
    <t xml:space="preserve">+edu</t>
  </si>
  <si>
    <t xml:space="preserve">-edu</t>
  </si>
  <si>
    <t xml:space="preserve">+eco</t>
  </si>
  <si>
    <t xml:space="preserve">-eco</t>
  </si>
  <si>
    <t xml:space="preserve">+fam</t>
  </si>
  <si>
    <t xml:space="preserve">-fam</t>
  </si>
  <si>
    <t xml:space="preserve">► 8.02 TABLA DE DISTRIBUCION DE ADJETIVOS DEL AAG Y PROMEDIOS</t>
  </si>
  <si>
    <t xml:space="preserve">Adjetivo</t>
  </si>
  <si>
    <t xml:space="preserve">sx</t>
  </si>
  <si>
    <t xml:space="preserve">ed</t>
  </si>
  <si>
    <t xml:space="preserve">ec</t>
  </si>
  <si>
    <t xml:space="preserve">edu</t>
  </si>
  <si>
    <t xml:space="preserve">eco</t>
  </si>
  <si>
    <t xml:space="preserve">fam</t>
  </si>
  <si>
    <t xml:space="preserve">► 8.03 HISTOGRAMA DE DISTRIBUCION DE ADJETIVOS DEL AAG</t>
  </si>
  <si>
    <t xml:space="preserve">AAG</t>
  </si>
  <si>
    <t xml:space="preserve">► 8.04 GRAFICO DE DISPERSION DE CENTROIDES DEL AAG DICOTOMIZADO EN SDA SRC</t>
  </si>
  <si>
    <t xml:space="preserve">1G1T1C
► 9.01 ANALISIS META-ADJETIVAL (AAG)</t>
  </si>
  <si>
    <t xml:space="preserve">► 9.01 AAG META</t>
  </si>
  <si>
    <t xml:space="preserve">Sujeto</t>
  </si>
  <si>
    <t xml:space="preserve">n_sujeto</t>
  </si>
  <si>
    <t xml:space="preserve">a_de 1</t>
  </si>
  <si>
    <t xml:space="preserve">o_de 1</t>
  </si>
  <si>
    <t xml:space="preserve">a - o</t>
  </si>
  <si>
    <t xml:space="preserve">a_de 2</t>
  </si>
  <si>
    <t xml:space="preserve">o_de 2</t>
  </si>
  <si>
    <t xml:space="preserve">a_de 3</t>
  </si>
  <si>
    <t xml:space="preserve">-1.50*</t>
  </si>
  <si>
    <t xml:space="preserve">o_de 3</t>
  </si>
  <si>
    <t xml:space="preserve">a_de 4</t>
  </si>
  <si>
    <t xml:space="preserve">-2.50*</t>
  </si>
  <si>
    <t xml:space="preserve">o_de 4</t>
  </si>
  <si>
    <t xml:space="preserve">a_de 5</t>
  </si>
  <si>
    <t xml:space="preserve">o_de 5</t>
  </si>
  <si>
    <t xml:space="preserve">1G1T1C
► 9.02 Histogramas AAG Meta</t>
  </si>
  <si>
    <t xml:space="preserve">1G1T1C
► 11.CLUSTERS</t>
  </si>
  <si>
    <t xml:space="preserve">► 11.01 CLUSTERS</t>
  </si>
  <si>
    <t xml:space="preserve">► 11.02 CLUSTERS DENSIDADES SDA / SRC</t>
  </si>
  <si>
    <t xml:space="preserve">K=2</t>
  </si>
  <si>
    <t xml:space="preserve">K=3</t>
  </si>
  <si>
    <t xml:space="preserve">K=4</t>
  </si>
  <si>
    <t xml:space="preserve">K2_SDA</t>
  </si>
  <si>
    <t xml:space="preserve">K2_SRC</t>
  </si>
  <si>
    <t xml:space="preserve">K3_SDA</t>
  </si>
  <si>
    <t xml:space="preserve">K3_SRC</t>
  </si>
  <si>
    <t xml:space="preserve">K4_SDA</t>
  </si>
  <si>
    <t xml:space="preserve">K4_SRC</t>
  </si>
  <si>
    <t xml:space="preserve">► 11.03 DENDROGRAMA (CAJ)</t>
  </si>
  <si>
    <t xml:space="preserve">► 11.04 SUBGRUPOS - TAXONOMÍA DE GRUPALIDADES</t>
  </si>
  <si>
    <t xml:space="preserve">TIPO DE GRUPALIDAD</t>
  </si>
  <si>
    <t xml:space="preserve">INDICADORES CLAVE (NEX_ORD 2026)</t>
  </si>
  <si>
    <t xml:space="preserve">1. LA CLASE CRISTALINA (Grupalidad Integrada)</t>
  </si>
  <si>
    <t xml:space="preserve">Recl_E ↑↑, TrS_pE ↑↑, FaP_E ↓↓
Alta cohesión en los K-clusters principales. Grupo sano y transparente.</t>
  </si>
  <si>
    <t xml:space="preserve">2. EL ARCHIPIÉLAGO (Grupalidad Fragmentada)</t>
  </si>
  <si>
    <t xml:space="preserve">Recl_E ↑, OpS_E ↑
Presencia de subgrupos múltiples densos pero aislados (N_GRUMOS &gt; 3). Faltan puentes.</t>
  </si>
  <si>
    <t xml:space="preserve">3. LA NIEBLA COGNITIVA (Grupalidad Disociada)</t>
  </si>
  <si>
    <t xml:space="preserve">FaP_E ↑↑, TrS_pE ↓↓
Repulsiones Activas (R) dispersas y bajas, pero [R] (Percibidas) difusas. Falsas percepciones dominan.</t>
  </si>
  <si>
    <t xml:space="preserve">4. EL AGUJERO NEGRO (Grupalidad Conflictiva)</t>
  </si>
  <si>
    <t xml:space="preserve">IS ↑↑, SS ↓↓, Recl_R ↑↑
Tensión Sociométrica Alta. Alta Reciprocidad en Relegamientos. Conflictividad estructural.</t>
  </si>
  <si>
    <t xml:space="preserve">► 11.05 ESCÁNER DE ESCALABILIDAD (REDES DE SINTONÍA Y NODOS PUENTE)</t>
  </si>
  <si>
    <t xml:space="preserve">RANKING DE NÚCLEOS DENSOS (Facciones Solapadas)</t>
  </si>
  <si>
    <t xml:space="preserve">Tam (k)</t>
  </si>
  <si>
    <t xml:space="preserve">Opción</t>
  </si>
  <si>
    <t xml:space="preserve">SDR Interna</t>
  </si>
  <si>
    <t xml:space="preserve">Integrantes (Nodos Puente)</t>
  </si>
  <si>
    <t xml:space="preserve">Top 1</t>
  </si>
  <si>
    <t xml:space="preserve">Top 2</t>
  </si>
  <si>
    <t xml:space="preserve">Top 3</t>
  </si>
  <si>
    <t xml:space="preserve">1, 4</t>
  </si>
  <si>
    <t xml:space="preserve">1, 2, 3</t>
  </si>
  <si>
    <t xml:space="preserve">2, 3, 5</t>
  </si>
  <si>
    <t xml:space="preserve">1, 4, 5</t>
  </si>
  <si>
    <t xml:space="preserve">1, 2, 3, 5</t>
  </si>
  <si>
    <t xml:space="preserve">1, 2, 3, 4</t>
  </si>
  <si>
    <t xml:space="preserve">2, 3, 4, 5</t>
  </si>
  <si>
    <t xml:space="preserve">1, 2, 3, 4, 5</t>
  </si>
  <si>
    <t xml:space="preserve">CODO DE SATURACIÓN DETECTADO EN k=3 SUJETOS.</t>
  </si>
  <si>
    <t xml:space="preserve">► 11.06 SINTONÍA GRUPAL (PG-S) Y CLASIFICACIÓN DE NODOS</t>
  </si>
  <si>
    <t xml:space="preserve">ÍNDICE DE RESONANCIA RELACIONAL (IRR):</t>
  </si>
  <si>
    <t xml:space="preserve">ID Sujeto</t>
  </si>
  <si>
    <t xml:space="preserve">Rol Estructural (PG-S)</t>
  </si>
  <si>
    <t xml:space="preserve">Nodo Puente (Pivote)</t>
  </si>
  <si>
    <t xml:space="preserve">Nodo de Anclaje (Resistencia)</t>
  </si>
  <si>
    <t xml:space="preserve">1G1T1C
► 12.INDICES</t>
  </si>
  <si>
    <t xml:space="preserve">► 12.01 INDICES GRUPALES TRADICIONALES</t>
  </si>
  <si>
    <t xml:space="preserve">IND</t>
  </si>
  <si>
    <t xml:space="preserve">Numerador</t>
  </si>
  <si>
    <t xml:space="preserve">Denominador</t>
  </si>
  <si>
    <t xml:space="preserve">Grupo</t>
  </si>
  <si>
    <t xml:space="preserve">I1</t>
  </si>
  <si>
    <t xml:space="preserve">percep_E</t>
  </si>
  <si>
    <t xml:space="preserve">&lt;.</t>
  </si>
  <si>
    <t xml:space="preserve">n</t>
  </si>
  <si>
    <t xml:space="preserve">I2</t>
  </si>
  <si>
    <t xml:space="preserve">Elección</t>
  </si>
  <si>
    <t xml:space="preserve">E.</t>
  </si>
  <si>
    <t xml:space="preserve">I3</t>
  </si>
  <si>
    <t xml:space="preserve">Repulsión</t>
  </si>
  <si>
    <t xml:space="preserve">R.</t>
  </si>
  <si>
    <t xml:space="preserve">I4</t>
  </si>
  <si>
    <t xml:space="preserve">percep_R</t>
  </si>
  <si>
    <t xml:space="preserve">[.</t>
  </si>
  <si>
    <t xml:space="preserve">I5</t>
  </si>
  <si>
    <t xml:space="preserve">Recl_pE</t>
  </si>
  <si>
    <t xml:space="preserve">&lt;.&gt;</t>
  </si>
  <si>
    <t xml:space="preserve">I6</t>
  </si>
  <si>
    <t xml:space="preserve">Recl_E</t>
  </si>
  <si>
    <t xml:space="preserve">I7</t>
  </si>
  <si>
    <t xml:space="preserve">Recl_R</t>
  </si>
  <si>
    <t xml:space="preserve">I8</t>
  </si>
  <si>
    <t xml:space="preserve">Recl_pR</t>
  </si>
  <si>
    <t xml:space="preserve">[.]</t>
  </si>
  <si>
    <t xml:space="preserve">I9</t>
  </si>
  <si>
    <t xml:space="preserve">REP_E</t>
  </si>
  <si>
    <t xml:space="preserve">&lt;.e</t>
  </si>
  <si>
    <t xml:space="preserve">I10</t>
  </si>
  <si>
    <t xml:space="preserve">REP_pE</t>
  </si>
  <si>
    <t xml:space="preserve">I11</t>
  </si>
  <si>
    <t xml:space="preserve">REP_pR</t>
  </si>
  <si>
    <t xml:space="preserve">[.r</t>
  </si>
  <si>
    <t xml:space="preserve">I12</t>
  </si>
  <si>
    <t xml:space="preserve">REP_R</t>
  </si>
  <si>
    <t xml:space="preserve">I13</t>
  </si>
  <si>
    <t xml:space="preserve">TrS_pE</t>
  </si>
  <si>
    <t xml:space="preserve">E.&gt;</t>
  </si>
  <si>
    <t xml:space="preserve">I14</t>
  </si>
  <si>
    <t xml:space="preserve">TrS_E</t>
  </si>
  <si>
    <t xml:space="preserve">I15</t>
  </si>
  <si>
    <t xml:space="preserve">TrS_R</t>
  </si>
  <si>
    <t xml:space="preserve">R.]</t>
  </si>
  <si>
    <t xml:space="preserve">I16</t>
  </si>
  <si>
    <t xml:space="preserve">TsS_pR</t>
  </si>
  <si>
    <t xml:space="preserve">I17</t>
  </si>
  <si>
    <t xml:space="preserve">FaP_pE</t>
  </si>
  <si>
    <t xml:space="preserve">&lt;.r</t>
  </si>
  <si>
    <t xml:space="preserve">I18</t>
  </si>
  <si>
    <t xml:space="preserve">FaP_pR</t>
  </si>
  <si>
    <t xml:space="preserve">].e</t>
  </si>
  <si>
    <t xml:space="preserve">I19</t>
  </si>
  <si>
    <t xml:space="preserve">OpS_pE</t>
  </si>
  <si>
    <t xml:space="preserve">&lt;]/&lt;</t>
  </si>
  <si>
    <t xml:space="preserve">I20</t>
  </si>
  <si>
    <t xml:space="preserve">OpS_E</t>
  </si>
  <si>
    <t xml:space="preserve">E.r</t>
  </si>
  <si>
    <t xml:space="preserve">I21</t>
  </si>
  <si>
    <t xml:space="preserve">OpS_R</t>
  </si>
  <si>
    <t xml:space="preserve">R.e</t>
  </si>
  <si>
    <t xml:space="preserve">I22</t>
  </si>
  <si>
    <t xml:space="preserve">OpS_pR</t>
  </si>
  <si>
    <t xml:space="preserve">[&gt;]/[</t>
  </si>
  <si>
    <t xml:space="preserve">I23</t>
  </si>
  <si>
    <t xml:space="preserve">SS</t>
  </si>
  <si>
    <t xml:space="preserve">e++&gt;+r+</t>
  </si>
  <si>
    <t xml:space="preserve">I24</t>
  </si>
  <si>
    <t xml:space="preserve">LID1</t>
  </si>
  <si>
    <t xml:space="preserve">LIDERAZGO</t>
  </si>
  <si>
    <t xml:space="preserve">I25</t>
  </si>
  <si>
    <t xml:space="preserve">LID2</t>
  </si>
  <si>
    <t xml:space="preserve">I26</t>
  </si>
  <si>
    <t xml:space="preserve">PoD1</t>
  </si>
  <si>
    <t xml:space="preserve">PODER</t>
  </si>
  <si>
    <t xml:space="preserve">I27</t>
  </si>
  <si>
    <t xml:space="preserve">PoD2</t>
  </si>
  <si>
    <t xml:space="preserve">I28</t>
  </si>
  <si>
    <t xml:space="preserve">DIAG</t>
  </si>
  <si>
    <t xml:space="preserve">I29</t>
  </si>
  <si>
    <t xml:space="preserve">SIG_B</t>
  </si>
  <si>
    <t xml:space="preserve">I30</t>
  </si>
  <si>
    <t xml:space="preserve">CRI</t>
  </si>
  <si>
    <t xml:space="preserve">I31</t>
  </si>
  <si>
    <t xml:space="preserve">K_INF</t>
  </si>
  <si>
    <t xml:space="preserve">► 12.02 INDICES MORENO DESCRIPCION</t>
  </si>
  <si>
    <t xml:space="preserve">ID</t>
  </si>
  <si>
    <t xml:space="preserve">Sigla (DA/REC)</t>
  </si>
  <si>
    <t xml:space="preserve">Descripcion</t>
  </si>
  <si>
    <t xml:space="preserve">formula</t>
  </si>
  <si>
    <t xml:space="preserve">Rango</t>
  </si>
  <si>
    <t xml:space="preserve">► 12.03 INDICES AVANZADOS DESCRIPCION</t>
  </si>
  <si>
    <t xml:space="preserve">Sigla</t>
  </si>
  <si>
    <t xml:space="preserve">Autor</t>
  </si>
  <si>
    <t xml:space="preserve">Descripción y Significado</t>
  </si>
  <si>
    <t xml:space="preserve">Procedimiento de Cálculo</t>
  </si>
  <si>
    <t xml:space="preserve">Valores Grupo</t>
  </si>
  <si>
    <t xml:space="preserve">Valores Individuo</t>
  </si>
  <si>
    <t xml:space="preserve">1G1T1C
► 10.01 PCA_COORD</t>
  </si>
  <si>
    <t xml:space="preserve">► 10.01 Coordenadas e inercias FILAS ACTIVAS</t>
  </si>
  <si>
    <t xml:space="preserve">► TABLA EXTRAC. DATOS ORIGINALES (SDR)</t>
  </si>
  <si>
    <t xml:space="preserve">En 1</t>
  </si>
  <si>
    <t xml:space="preserve">En 2</t>
  </si>
  <si>
    <t xml:space="preserve">En 3</t>
  </si>
  <si>
    <t xml:space="preserve">En 4</t>
  </si>
  <si>
    <t xml:space="preserve">En 5</t>
  </si>
  <si>
    <t xml:space="preserve">COR</t>
  </si>
  <si>
    <t xml:space="preserve">CTR</t>
  </si>
  <si>
    <t xml:space="preserve">COS</t>
  </si>
  <si>
    <t xml:space="preserve">► 10.02 Coordenadas e inercias COLUMNAS ACTIVAS</t>
  </si>
  <si>
    <t xml:space="preserve">1G1T1C
Difracción</t>
  </si>
  <si>
    <t xml:space="preserve">13.01 Difracción</t>
  </si>
  <si>
    <t xml:space="preserve">► 13.01 DENSIDAD NETA (SDR) - ENERGÍA ÚTIL</t>
  </si>
  <si>
    <t xml:space="preserve">► 13.02</t>
  </si>
  <si>
    <t xml:space="preserve">► 13.03 FRECUENCIA DE IMPACTOS</t>
  </si>
  <si>
    <t xml:space="preserve">► 13.04</t>
  </si>
  <si>
    <t xml:space="preserve">► 13.05 DENSIDAD BRUTA (BDR) - TRABAJO TOTAL</t>
  </si>
  <si>
    <t xml:space="preserve">► 13.06</t>
  </si>
  <si>
    <t xml:space="preserve">► 13.07 DESGASTE TERMODINÁMICO (BDR - |SDR|)</t>
  </si>
  <si>
    <t xml:space="preserve">► 13.08</t>
  </si>
  <si>
    <t xml:space="preserve">1G1T1C
Rejillas</t>
  </si>
  <si>
    <t xml:space="preserve">► 14.01 REJILLA TOPOGRAFICA DE FRECUENCIAS (15X15)</t>
  </si>
  <si>
    <t xml:space="preserve">► 14.02 REJILLA TOPOGRAFICA DE DENSIDAD BRUTA (15X15)</t>
  </si>
  <si>
    <t xml:space="preserve">Σ</t>
  </si>
  <si>
    <t xml:space="preserve">► 14.03 REJILLA FACTUAL - PRISMA 1 - ACTIVO (A4 x A1)</t>
  </si>
  <si>
    <t xml:space="preserve">► 14.04 REJILLA FACTUAL - PRISMA 1 - ACTIVO (A4 x A1)</t>
  </si>
  <si>
    <t xml:space="preserve">► 14.05 REJILLA FACTUAL - PRISMA 2 - PASIVO (A2 x A3)</t>
  </si>
  <si>
    <t xml:space="preserve">► 14.06 REJILLA FACTUAL - PRISMA 2 - PASIVO (A2 x A3)</t>
  </si>
  <si>
    <t xml:space="preserve">► 14.07 REJILLA PERCEPTUAL - PRISMA 3 - EXTERNO (A4 x A2)</t>
  </si>
  <si>
    <t xml:space="preserve">► 14.08 REJILLA PERCEPTUAL - PRISMA 3 - EXTERNO (A4 x A2)</t>
  </si>
  <si>
    <t xml:space="preserve">► 14.09 REJILLA PERCEPTUAL - PRISMA 4 - INTERNO (A1 x A3)</t>
  </si>
  <si>
    <t xml:space="preserve">► 14.10 REJILLA PERCEPTUAL - PRISMA 4 - INTERNO (A1 x A3)</t>
  </si>
  <si>
    <t xml:space="preserve">► 14.11 REJILLA PERCEPTUAL - PRISMA 5 - PERCEPTUAL (A4 x A3)</t>
  </si>
  <si>
    <t xml:space="preserve">► 14.12 REJILLA PERCEPTUAL - PRISMA 5 - PERCEPTUAL (A4 x A3)</t>
  </si>
  <si>
    <t xml:space="preserve">► 14.13 REJILLA FACTUAL - PRISMA 6 - FACTUAL (A1 x A2)</t>
  </si>
  <si>
    <t xml:space="preserve">► 14.14 REJILLA FACTUAL - PRISMA 6 - FACTUAL (A1 x A2)</t>
  </si>
  <si>
    <t xml:space="preserve">1G1T1C
Difr. Prismas</t>
  </si>
  <si>
    <t xml:space="preserve">15.01 PRISMA 1 - ACTIVO (A4 x A1)</t>
  </si>
  <si>
    <t xml:space="preserve">► 15.01 DENSIDAD NETA (SDR) - PRISMA 1 - ACTIVO (A4 x A1)</t>
  </si>
  <si>
    <t xml:space="preserve">► 15.02 FRECUENCIA DE IMPACTOS</t>
  </si>
  <si>
    <t xml:space="preserve">► 15.03 DENSIDAD BRUTA (BDR)</t>
  </si>
  <si>
    <t xml:space="preserve">► 15.04 DESGASTE TERMODINÁMICO</t>
  </si>
  <si>
    <t xml:space="preserve">15.02 PRISMA 2 - PASIVO (A2 x A3)</t>
  </si>
  <si>
    <t xml:space="preserve">► 15.05 DENSIDAD NETA (SDR) - PRISMA 2 - PASIVO (A2 x A3)</t>
  </si>
  <si>
    <t xml:space="preserve">► 15.06 FRECUENCIA DE IMPACTOS</t>
  </si>
  <si>
    <t xml:space="preserve">► 15.07 DENSIDAD BRUTA (BDR)</t>
  </si>
  <si>
    <t xml:space="preserve">► 15.08 DESGASTE TERMODINÁMICO</t>
  </si>
  <si>
    <t xml:space="preserve">15.03 PRISMA 3 - EXTERNO (A4 x A2)</t>
  </si>
  <si>
    <t xml:space="preserve">► 15.09 DENSIDAD NETA (SDR) - PRISMA 3 - EXTERNO (A4 x A2)</t>
  </si>
  <si>
    <t xml:space="preserve">► 15.10 FRECUENCIA DE IMPACTOS</t>
  </si>
  <si>
    <t xml:space="preserve">► 15.11 DENSIDAD BRUTA (BDR)</t>
  </si>
  <si>
    <t xml:space="preserve">► 15.12 DESGASTE TERMODINÁMICO</t>
  </si>
  <si>
    <t xml:space="preserve">15.04 PRISMA 4 - INTERNO (A1 x A3)</t>
  </si>
  <si>
    <t xml:space="preserve">► 15.13 DENSIDAD NETA (SDR) - PRISMA 4 - INTERNO (A1 x A3)</t>
  </si>
  <si>
    <t xml:space="preserve">► 15.14 FRECUENCIA DE IMPACTOS</t>
  </si>
  <si>
    <t xml:space="preserve">► 15.15 DENSIDAD BRUTA (BDR)</t>
  </si>
  <si>
    <t xml:space="preserve">► 15.16 DESGASTE TERMODINÁMICO</t>
  </si>
  <si>
    <t xml:space="preserve">15.05 PRISMA 5 - PERCEPTUAL (A4 x A3)</t>
  </si>
  <si>
    <t xml:space="preserve">► 15.17 DENSIDAD NETA (SDR) - PRISMA 5 - PERCEPTUAL (A4 x A3)</t>
  </si>
  <si>
    <t xml:space="preserve">► 15.18 FRECUENCIA DE IMPACTOS</t>
  </si>
  <si>
    <t xml:space="preserve">► 15.19 DENSIDAD BRUTA (BDR)</t>
  </si>
  <si>
    <t xml:space="preserve">► 15.20 DESGASTE TERMODINÁMICO</t>
  </si>
  <si>
    <t xml:space="preserve">15.06 PRISMA 6 - FACTUAL (A1 x A2)</t>
  </si>
  <si>
    <t xml:space="preserve">► 15.21 DENSIDAD NETA (SDR) - PRISMA 6 - FACTUAL (A1 x A2)</t>
  </si>
  <si>
    <t xml:space="preserve">► 15.22 FRECUENCIA DE IMPACTOS</t>
  </si>
  <si>
    <t xml:space="preserve">► 15.23 DENSIDAD BRUTA (BDR)</t>
  </si>
  <si>
    <t xml:space="preserve">► 15.24 DESGASTE TERMODINÁMICO</t>
  </si>
  <si>
    <t xml:space="preserve">1G1T1C
Resumen Difracción</t>
  </si>
  <si>
    <t xml:space="preserve">DIFRACCIÓN GLOBAL</t>
  </si>
  <si>
    <t xml:space="preserve">► 16.01 DENSIDAD NETA (SDR) - ENERGÍA ÚTIL</t>
  </si>
  <si>
    <t xml:space="preserve">► 16.02 FRECUENCIA DE IMPACTOS</t>
  </si>
  <si>
    <t xml:space="preserve">► 16.03 DENSIDAD BRUTA (BDR) - TRABAJO TOTAL</t>
  </si>
  <si>
    <t xml:space="preserve">► 16.04 DESGASTE TERMODINÁMICO (BDR - |SDR|)</t>
  </si>
  <si>
    <t xml:space="preserve">PRISMA 1 - ACTIVO (A4 x A1)</t>
  </si>
  <si>
    <t xml:space="preserve">► 16.05 PRISMA 1 - ACTIVO (A4 x A1) (SDR)</t>
  </si>
  <si>
    <t xml:space="preserve">► 16.06 PRISMA 1 - ACTIVO (A4 x A1) (FREQ)</t>
  </si>
  <si>
    <t xml:space="preserve">► 16.07 PRISMA 1 - ACTIVO (A4 x A1) (BDR)</t>
  </si>
  <si>
    <t xml:space="preserve">► 16.08 PRISMA 1 - ACTIVO (A4 x A1) (WEAR)</t>
  </si>
  <si>
    <t xml:space="preserve">PRISMA 2 - PASIVO (A2 x A3)</t>
  </si>
  <si>
    <t xml:space="preserve">► 16.09 PRISMA 2 - PASIVO (A2 x A3) (SDR)</t>
  </si>
  <si>
    <t xml:space="preserve">► 16.10 PRISMA 2 - PASIVO (A2 x A3) (FREQ)</t>
  </si>
  <si>
    <t xml:space="preserve">► 16.11 PRISMA 2 - PASIVO (A2 x A3) (BDR)</t>
  </si>
  <si>
    <t xml:space="preserve">► 16.12 PRISMA 2 - PASIVO (A2 x A3) (WEAR)</t>
  </si>
  <si>
    <t xml:space="preserve">PRISMA 3 - EXTERNO (A4 x A2)</t>
  </si>
  <si>
    <t xml:space="preserve">► 16.13 PRISMA 3 - EXTERNO (A4 x A2) (SDR)</t>
  </si>
  <si>
    <t xml:space="preserve">► 16.14 PRISMA 3 - EXTERNO (A4 x A2) (FREQ)</t>
  </si>
  <si>
    <t xml:space="preserve">► 16.15 PRISMA 3 - EXTERNO (A4 x A2) (BDR)</t>
  </si>
  <si>
    <t xml:space="preserve">► 16.16 PRISMA 3 - EXTERNO (A4 x A2) (WEAR)</t>
  </si>
  <si>
    <t xml:space="preserve">PRISMA 4 - INTERNO (A1 x A3)</t>
  </si>
  <si>
    <t xml:space="preserve">► 16.17 PRISMA 4 - INTERNO (A1 x A3) (SDR)</t>
  </si>
  <si>
    <t xml:space="preserve">► 16.18 PRISMA 4 - INTERNO (A1 x A3) (FREQ)</t>
  </si>
  <si>
    <t xml:space="preserve">► 16.19 PRISMA 4 - INTERNO (A1 x A3) (BDR)</t>
  </si>
  <si>
    <t xml:space="preserve">► 16.20 PRISMA 4 - INTERNO (A1 x A3) (WEAR)</t>
  </si>
  <si>
    <t xml:space="preserve">PRISMA 5 - PERCEPTUAL (A4 x A3)</t>
  </si>
  <si>
    <t xml:space="preserve">► 16.21 PRISMA 5 - PERCEPTUAL (A4 x A3) (SDR)</t>
  </si>
  <si>
    <t xml:space="preserve">► 16.22 PRISMA 5 - PERCEPTUAL (A4 x A3) (FREQ)</t>
  </si>
  <si>
    <t xml:space="preserve">► 16.23 PRISMA 5 - PERCEPTUAL (A4 x A3) (BDR)</t>
  </si>
  <si>
    <t xml:space="preserve">► 16.24 PRISMA 5 - PERCEPTUAL (A4 x A3) (WEAR)</t>
  </si>
  <si>
    <t xml:space="preserve">PRISMA 6 - FACTUAL (A1 x A2)</t>
  </si>
  <si>
    <t xml:space="preserve">► 16.25 PRISMA 6 - FACTUAL (A1 x A2) (SDR)</t>
  </si>
  <si>
    <t xml:space="preserve">► 16.26 PRISMA 6 - FACTUAL (A1 x A2) (FREQ)</t>
  </si>
  <si>
    <t xml:space="preserve">► 16.27 PRISMA 6 - FACTUAL (A1 x A2) (BDR)</t>
  </si>
  <si>
    <t xml:space="preserve">► 16.28 PRISMA 6 - FACTUAL (A1 x A2) (WEAR)</t>
  </si>
  <si>
    <t xml:space="preserve">1G1T1C
17.Individual</t>
  </si>
  <si>
    <t xml:space="preserve">► 17.01 FRECUENCIAS INDIVIDUALES (DA / RECIBE)</t>
  </si>
  <si>
    <t xml:space="preserve">► 17.05 LEYENDA</t>
  </si>
  <si>
    <t xml:space="preserve">Indiferencia</t>
  </si>
  <si>
    <t xml:space="preserve">RC</t>
  </si>
  <si>
    <t xml:space="preserve">Rechazo</t>
  </si>
  <si>
    <t xml:space="preserve">Percepción de elección</t>
  </si>
  <si>
    <t xml:space="preserve">Percepción de indiferencia</t>
  </si>
  <si>
    <t xml:space="preserve">Percepción de rechazo</t>
  </si>
  <si>
    <t xml:space="preserve">Elección recibida</t>
  </si>
  <si>
    <t xml:space="preserve">Indiferencia recibida</t>
  </si>
  <si>
    <t xml:space="preserve">Rechazo recibido</t>
  </si>
  <si>
    <t xml:space="preserve">Percepción de elección recíproca</t>
  </si>
  <si>
    <t xml:space="preserve">Percepción de indiferencia recíproca</t>
  </si>
  <si>
    <t xml:space="preserve">Percepción de rechazo recíproca</t>
  </si>
  <si>
    <t xml:space="preserve">Elección mutuamente recíproca</t>
  </si>
  <si>
    <t xml:space="preserve">► 17.02 INDICES INDIVIDUALES 01-16 (DA / RECIBE)</t>
  </si>
  <si>
    <t xml:space="preserve">Rechazo mutuamente recíproca</t>
  </si>
  <si>
    <t xml:space="preserve">Oposición Factual Interna: Er</t>
  </si>
  <si>
    <t xml:space="preserve">Oposición Factual Externa: Re</t>
  </si>
  <si>
    <t xml:space="preserve">Oposición Perceptual Interna: &lt;]</t>
  </si>
  <si>
    <t xml:space="preserve">Oposición Perceptual Externa: [&gt;</t>
  </si>
  <si>
    <t xml:space="preserve">Elección mutua mutuamente percibida</t>
  </si>
  <si>
    <t xml:space="preserve">Rechazo mutuo mutuamente percibido</t>
  </si>
  <si>
    <t xml:space="preserve">► 17.06 INDICES MODELO / DESCRIPCION</t>
  </si>
  <si>
    <t xml:space="preserve">Descripción</t>
  </si>
  <si>
    <t xml:space="preserve">Fórmula</t>
  </si>
  <si>
    <t xml:space="preserve">EXPANSIVIDAD pE</t>
  </si>
  <si>
    <t xml:space="preserve">&lt; / n*</t>
  </si>
  <si>
    <t xml:space="preserve">Rango [0, 1]</t>
  </si>
  <si>
    <t xml:space="preserve">EXPANSIVIDAD E</t>
  </si>
  <si>
    <t xml:space="preserve">E / n*</t>
  </si>
  <si>
    <t xml:space="preserve">EXPANSIVIDAD R</t>
  </si>
  <si>
    <t xml:space="preserve">R / n*</t>
  </si>
  <si>
    <t xml:space="preserve">► 17.03 INDICES INDIVIDUALES 17-31 (DA / RECIBE)</t>
  </si>
  <si>
    <t xml:space="preserve">EXPANSIVIDAD pR</t>
  </si>
  <si>
    <t xml:space="preserve">[ / n*</t>
  </si>
  <si>
    <t xml:space="preserve">Real_pE</t>
  </si>
  <si>
    <t xml:space="preserve">RECIPROCIDAD pE</t>
  </si>
  <si>
    <t xml:space="preserve">&lt;,&gt; / &lt;</t>
  </si>
  <si>
    <t xml:space="preserve">Reci_E</t>
  </si>
  <si>
    <t xml:space="preserve">RECIPROCIDAD E</t>
  </si>
  <si>
    <t xml:space="preserve">Ee / E</t>
  </si>
  <si>
    <t xml:space="preserve">Reci_R</t>
  </si>
  <si>
    <t xml:space="preserve">RECIPROCIDAD R</t>
  </si>
  <si>
    <t xml:space="preserve">Rr / R</t>
  </si>
  <si>
    <t xml:space="preserve">Real_pR</t>
  </si>
  <si>
    <t xml:space="preserve">RECIPROCIDAD pR</t>
  </si>
  <si>
    <t xml:space="preserve">[,] / [</t>
  </si>
  <si>
    <t xml:space="preserve">REALISMO PERCEPTUAL E</t>
  </si>
  <si>
    <t xml:space="preserve">&lt;,e / &lt;</t>
  </si>
  <si>
    <t xml:space="preserve">REALISMO PERCEPTUAL pE</t>
  </si>
  <si>
    <t xml:space="preserve">&lt;,e / e</t>
  </si>
  <si>
    <t xml:space="preserve">REALISMO PERCEPTUAL pR</t>
  </si>
  <si>
    <t xml:space="preserve">[,r / r</t>
  </si>
  <si>
    <t xml:space="preserve">REALISMO PERCEPTUAL R</t>
  </si>
  <si>
    <t xml:space="preserve">[,r / [</t>
  </si>
  <si>
    <t xml:space="preserve">TRANSPARENCIA SOCIAL pE</t>
  </si>
  <si>
    <t xml:space="preserve">E,&gt; / &gt;</t>
  </si>
  <si>
    <t xml:space="preserve">TRANSPARENCIA SOCIAL E</t>
  </si>
  <si>
    <t xml:space="preserve">E,&gt; / E</t>
  </si>
  <si>
    <t xml:space="preserve">TRANSPARENCIA SOCIAL R</t>
  </si>
  <si>
    <t xml:space="preserve">R,] / R</t>
  </si>
  <si>
    <t xml:space="preserve">TrS_pR</t>
  </si>
  <si>
    <t xml:space="preserve">TRANSPARENCIA SOCIAL pR</t>
  </si>
  <si>
    <t xml:space="preserve">R,] / ]</t>
  </si>
  <si>
    <t xml:space="preserve">FALSAS PERCEPCIONES pE</t>
  </si>
  <si>
    <t xml:space="preserve">&lt;,r / &lt;</t>
  </si>
  <si>
    <t xml:space="preserve">► 17.04 TABLA DE RECEPCION DE CADA MIEMBRO DEL GRUPO</t>
  </si>
  <si>
    <t xml:space="preserve">FALSAS PERCEPCIONES pR</t>
  </si>
  <si>
    <t xml:space="preserve">[,e / [</t>
  </si>
  <si>
    <t xml:space="preserve">OPOSICIÓN DE SENTIMIENTOS pE</t>
  </si>
  <si>
    <t xml:space="preserve">&lt;,r / E</t>
  </si>
  <si>
    <t xml:space="preserve">X</t>
  </si>
  <si>
    <t xml:space="preserve">OPOSICIÓN DE SENTIMIENTOS E</t>
  </si>
  <si>
    <t xml:space="preserve">E,r / E</t>
  </si>
  <si>
    <t xml:space="preserve">OPOSICIÓN DE SENTIMIENTOS R</t>
  </si>
  <si>
    <t xml:space="preserve">R,e / R</t>
  </si>
  <si>
    <t xml:space="preserve">OPOSICIÓN DE SENTIMIENTOS pR</t>
  </si>
  <si>
    <t xml:space="preserve">[,e / R</t>
  </si>
  <si>
    <t xml:space="preserve">ESTATUS SOCIOMÉTRICO</t>
  </si>
  <si>
    <t xml:space="preserve">e / (e + r + ?)</t>
  </si>
  <si>
    <t xml:space="preserve">Rango [-1, 1]</t>
  </si>
  <si>
    <t xml:space="preserve">LiD1</t>
  </si>
  <si>
    <t xml:space="preserve">...</t>
  </si>
  <si>
    <t xml:space="preserve">Rango [0, 100]</t>
  </si>
  <si>
    <t xml:space="preserve">LiD2</t>
  </si>
  <si>
    <t xml:space="preserve">LIDERAZGO 2</t>
  </si>
  <si>
    <t xml:space="preserve">PODER 2</t>
  </si>
  <si>
    <t xml:space="preserve">Rango [-100, 100]</t>
  </si>
  <si>
    <t xml:space="preserve">Rango [0, ∞)</t>
  </si>
  <si>
    <t xml:space="preserve">► 17.07 DENSIDAD NETA (SDR) - ENERGÍA ÚTIL - 1</t>
  </si>
  <si>
    <t xml:space="preserve">► 17.07S</t>
  </si>
  <si>
    <t xml:space="preserve">► 17.08 FRECUENCIA DE IMPACTOS - 1</t>
  </si>
  <si>
    <t xml:space="preserve">► 17.08S</t>
  </si>
  <si>
    <t xml:space="preserve">► 17.09 DENSIDAD BRUTA (BDR) - TRABAJO TOTAL - 1</t>
  </si>
  <si>
    <t xml:space="preserve">► 17.09S</t>
  </si>
  <si>
    <t xml:space="preserve">► 17.09 DESGASTE TERMODINÁMICO (BDR - |SDR|) - 1</t>
  </si>
  <si>
    <t xml:space="preserve">► 17.10 DENSIDAD NETA (SDR) - ENERGÍA ÚTIL - 2</t>
  </si>
  <si>
    <t xml:space="preserve">► 17.10S</t>
  </si>
  <si>
    <t xml:space="preserve">► 17.11 FRECUENCIA DE IMPACTOS - 2</t>
  </si>
  <si>
    <t xml:space="preserve">► 17.11S</t>
  </si>
  <si>
    <t xml:space="preserve">► 17.12 DENSIDAD BRUTA (BDR) - TRABAJO TOTAL - 2</t>
  </si>
  <si>
    <t xml:space="preserve">► 17.12S</t>
  </si>
  <si>
    <t xml:space="preserve">► 17.12 DESGASTE TERMODINÁMICO (BDR - |SDR|) - 2</t>
  </si>
  <si>
    <t xml:space="preserve">► 17.13 DENSIDAD NETA (SDR) - ENERGÍA ÚTIL - 3</t>
  </si>
  <si>
    <t xml:space="preserve">► 17.13S</t>
  </si>
  <si>
    <t xml:space="preserve">► 17.14 FRECUENCIA DE IMPACTOS - 3</t>
  </si>
  <si>
    <t xml:space="preserve">► 17.14S</t>
  </si>
  <si>
    <t xml:space="preserve">► 17.15 DENSIDAD BRUTA (BDR) - TRABAJO TOTAL - 3</t>
  </si>
  <si>
    <t xml:space="preserve">► 17.15S</t>
  </si>
  <si>
    <t xml:space="preserve">► 17.15 DESGASTE TERMODINÁMICO (BDR - |SDR|) - 3</t>
  </si>
  <si>
    <t xml:space="preserve">► 17.16 DENSIDAD NETA (SDR) - ENERGÍA ÚTIL - 4</t>
  </si>
  <si>
    <t xml:space="preserve">► 17.16S</t>
  </si>
  <si>
    <t xml:space="preserve">► 17.17 FRECUENCIA DE IMPACTOS - 4</t>
  </si>
  <si>
    <t xml:space="preserve">► 17.17S</t>
  </si>
  <si>
    <t xml:space="preserve">► 17.18 DENSIDAD BRUTA (BDR) - TRABAJO TOTAL - 4</t>
  </si>
  <si>
    <t xml:space="preserve">► 17.18S</t>
  </si>
  <si>
    <t xml:space="preserve">► 17.18 DESGASTE TERMODINÁMICO (BDR - |SDR|) - 4</t>
  </si>
  <si>
    <t xml:space="preserve">► 17.19 DENSIDAD NETA (SDR) - ENERGÍA ÚTIL - 5</t>
  </si>
  <si>
    <t xml:space="preserve">► 17.19S</t>
  </si>
  <si>
    <t xml:space="preserve">► 17.20 FRECUENCIA DE IMPACTOS - 5</t>
  </si>
  <si>
    <t xml:space="preserve">► 17.20S</t>
  </si>
  <si>
    <t xml:space="preserve">► 17.21 DENSIDAD BRUTA (BDR) - TRABAJO TOTAL - 5</t>
  </si>
  <si>
    <t xml:space="preserve">► 17.21S</t>
  </si>
  <si>
    <t xml:space="preserve">► 17.21 DESGASTE TERMODINÁMICO (BDR - |SDR|) - 5</t>
  </si>
  <si>
    <t xml:space="preserve">1G1T1C
► 18. ANÁLISIS ESPECTRAL GENERALIZADO (AGE - SVD &amp; FOURIER)</t>
  </si>
  <si>
    <t xml:space="preserve">► 18.01 ESPECTRO DE AUTOVALORES SINGULARES (AGE - SVD)</t>
  </si>
  <si>
    <t xml:space="preserve">Modo_Espectral</t>
  </si>
  <si>
    <t xml:space="preserve">Autovalor_Singular (λ)</t>
  </si>
  <si>
    <t xml:space="preserve">Varianza_Explicada_%</t>
  </si>
  <si>
    <t xml:space="preserve">Varianza_Acumulada_%</t>
  </si>
  <si>
    <t xml:space="preserve">Modo 1 (λ_1)</t>
  </si>
  <si>
    <t xml:space="preserve">Modo 2 (λ_2)</t>
  </si>
  <si>
    <t xml:space="preserve">Modo 3 (λ_3)</t>
  </si>
  <si>
    <t xml:space="preserve">Modo 4 (λ_4)</t>
  </si>
  <si>
    <t xml:space="preserve">Modo 5 (λ_5)</t>
  </si>
  <si>
    <t xml:space="preserve">► 18.02 INDICADORES SINTÉTICOS DE LA RED ESPECTRAL</t>
  </si>
  <si>
    <t xml:space="preserve">Radio Espectral (λ_1)</t>
  </si>
  <si>
    <t xml:space="preserve">Brecha Espectral (λ_1 - λ_2)</t>
  </si>
  <si>
    <t xml:space="preserve">Energía Espectral del Grafo (Σ λ_i)</t>
  </si>
  <si>
    <t xml:space="preserve">Dimensión Efectiva k (85% Var)</t>
  </si>
  <si>
    <t xml:space="preserve">► 18.03 FACTOR SCORES ESPECTRALES POR SUJETO (VECTORES PROPIOS)</t>
  </si>
  <si>
    <t xml:space="preserve">Vektor_E1 (Dominante)</t>
  </si>
  <si>
    <t xml:space="preserve">Vektor_E2 (Secundario)</t>
  </si>
  <si>
    <t xml:space="preserve">Vektor_E3 (Terciario)</t>
  </si>
  <si>
    <t xml:space="preserve">Norma_Espectral_Indiv</t>
  </si>
  <si>
    <t xml:space="preserve">► 18.04 MÉTRICAS DE FRECUENCIA Y FRICCIÓN ESPECTRAL (FFT / IFE%)</t>
  </si>
  <si>
    <t xml:space="preserve">Label</t>
  </si>
  <si>
    <t xml:space="preserve">F0_Base</t>
  </si>
  <si>
    <t xml:space="preserve">F1_Fundamental</t>
  </si>
  <si>
    <t xml:space="preserve">F_Alta_Friccion</t>
  </si>
  <si>
    <t xml:space="preserve">IFE_Pct</t>
  </si>
  <si>
    <t xml:space="preserve">Rank_Mean</t>
  </si>
  <si>
    <t xml:space="preserve">Perfil_Espectral</t>
  </si>
  <si>
    <t xml:space="preserve">Polarizado (Onda Macro)</t>
  </si>
  <si>
    <t xml:space="preserve">Estable</t>
  </si>
  <si>
    <t xml:space="preserve">1G1T1C
19.Markov</t>
  </si>
  <si>
    <t xml:space="preserve">► 19.01 ESTADO ESTACIONARIO (MASA GRAVITACIONAL)</t>
  </si>
  <si>
    <t xml:space="preserve">Masa_Gravitacional</t>
  </si>
  <si>
    <t xml:space="preserve">Ranking_Gravedad</t>
  </si>
  <si>
    <t xml:space="preserve">► 19.02 GRAFO PREDICTIVO MARKOV</t>
  </si>
  <si>
    <t xml:space="preserve">► 19.04 Concepto de Masa Gravitacional</t>
  </si>
  <si>
    <t xml:space="preserve">El Grafo Predictivo de Markov modela la red sociométrica como un sistema dinámico donde la 'energía social' fluye probabilísticamente. La Masa Gravitacional (Estado Estacionario) identifica a los verdaderos 'atractores' del grupo: aquellos individuos hacia los que confluye la influencia a largo plazo, considerando no solo sus conexiones directas, sino el peso de quienes los eligen (efecto PageRank).</t>
  </si>
  <si>
    <t xml:space="preserve">► 19.05 Interpretación Visual y Predictiva</t>
  </si>
  <si>
    <t xml:space="preserve">En el grafo, el tamaño y el color de los nodos (escala de calor hacia el rojo oscuro) indican su nivel de Masa Gravitacional. Los nodos mayores revelan a los líderes estructurales profundos. Las flechas muestran las rutas de influencia. Este modelo predictivo es vital para anticipar quiénes dominarán indirectamente la propagación de ideas o estados de ánimo en el seno del grupo.</t>
  </si>
  <si>
    <t xml:space="preserve">1G1T1C
20.Ordinal C(n,n)</t>
  </si>
  <si>
    <t xml:space="preserve">► 20.01 MATRIZ C(n, n) DE LA FUNCION INVERSA de BREVE ORDINAL</t>
  </si>
  <si>
    <t xml:space="preserve">► 20.02 LIDERAZGO PONDERADO (EIGENVECTOR)</t>
  </si>
  <si>
    <t xml:space="preserve">► 20.03 DESEQUILIBRIOS EMOCIONALES ASIMÉTRICOS</t>
  </si>
  <si>
    <t xml:space="preserve">Centralidad Ponderada</t>
  </si>
  <si>
    <t xml:space="preserve">Nº</t>
  </si>
  <si>
    <t xml:space="preserve">Sujeto Más (Ego)</t>
  </si>
  <si>
    <t xml:space="preserve">Sujeto Menos (Alter)</t>
  </si>
  <si>
    <t xml:space="preserve">Brecha (ΔC)</t>
  </si>
  <si>
    <t xml:space="preserve">G1T1C1
Física de lo Grupal (Termodinámica) - 1g1t1c</t>
  </si>
  <si>
    <t xml:space="preserve">g1t1c1 (G1T1C1)</t>
  </si>
  <si>
    <t xml:space="preserve">NEX_ORD v6.0</t>
  </si>
  <si>
    <t xml:space="preserve">2026-08-29 15:41:59</t>
  </si>
  <si>
    <t xml:space="preserve">.../05_Output/Dossier_Maestro.xlsx</t>
  </si>
  <si>
    <t xml:space="preserve">Métricas de Termodinámica Grupal (T1)</t>
  </si>
  <si>
    <t xml:space="preserve">Valor</t>
  </si>
  <si>
    <t xml:space="preserve">Interpretación</t>
  </si>
  <si>
    <t xml:space="preserve">Entropía Grupal (S_g)</t>
  </si>
  <si>
    <t xml:space="preserve">Medida del caos o flexibilidad relacional.</t>
  </si>
  <si>
    <t xml:space="preserve">Fatiga Estructural (IF_e)</t>
  </si>
  <si>
    <t xml:space="preserve">Carga de tensión friccional soportada por los nodos.</t>
  </si>
  <si>
    <t xml:space="preserve">Ratio Térmico (S_g / IF_e)</t>
  </si>
  <si>
    <t xml:space="preserve">Equilibrio entre flexibilidad estructural y tensión.</t>
  </si>
  <si>
    <t xml:space="preserve">Índices Topológicos Triádicos</t>
  </si>
  <si>
    <t xml:space="preserve">Índice</t>
  </si>
  <si>
    <t xml:space="preserve">Tasa de Entropía Perceptiva</t>
  </si>
  <si>
    <t xml:space="preserve">82.5%</t>
  </si>
  <si>
    <t xml:space="preserve">Masa de Cizallamiento Triádico</t>
  </si>
  <si>
    <t xml:space="preserve">35.0%</t>
  </si>
  <si>
    <t xml:space="preserve">Índice de Endogamia Sistémica</t>
  </si>
  <si>
    <t xml:space="preserve">68.0%</t>
  </si>
  <si>
    <t xml:space="preserve">Diagnóstico de Sostenibilidad (T1 vs T2)</t>
  </si>
  <si>
    <t xml:space="preserve">Coeficiente de Resiliencia (C_r)</t>
  </si>
  <si>
    <t xml:space="preserve">0.12</t>
  </si>
  <si>
    <t xml:space="preserve">Índice de Sostenibilidad Grupal (ISG)</t>
  </si>
  <si>
    <t xml:space="preserve">0.128</t>
  </si>
  <si>
    <t xml:space="preserve">Estado de Salud</t>
  </si>
  <si>
    <t xml:space="preserve">Sostenibilidad Tensionada (Amarillo)</t>
  </si>
  <si>
    <t xml:space="preserve">Alerta</t>
  </si>
  <si>
    <t xml:space="preserve">La estructura está en riesgo de colapso.</t>
  </si>
  <si>
    <t xml:space="preserve">Protocolo de Intervención Discreta (PID)</t>
  </si>
  <si>
    <t xml:space="preserve">Nivel</t>
  </si>
  <si>
    <t xml:space="preserve">Sugerencia de Intervención</t>
  </si>
  <si>
    <t xml:space="preserve">Nivel_1_Descompresion</t>
  </si>
  <si>
    <t xml:space="preserve">Válvula de Escape: Reducir la frecuencia de reportes o reuniones solo en el nodo afectado.</t>
  </si>
  <si>
    <t xml:space="preserve">Amortiguación de Impacto: Introducir un 'buffer' de tiempo entre recepción y emisión de respuesta.</t>
  </si>
  <si>
    <t xml:space="preserve">Fraccionamiento de Carga: Dividir la tarea del nodo saturado entre nodos adyacentes.</t>
  </si>
  <si>
    <t xml:space="preserve">Nivel_2_Inyeccion_Entropia</t>
  </si>
  <si>
    <t xml:space="preserve">Rotación de Flujo: Cambiar el canal de comunicación (ej. de asíncrono a síncrono).</t>
  </si>
  <si>
    <t xml:space="preserve">Apertura de 'A': Declarar un 'espacio ciego' sin medición de ratios pE/R temporalmente.</t>
  </si>
  <si>
    <t xml:space="preserve">Introducción de Ruido: Alterar el orden de prioridades menores para forzar recálculo de rutas.</t>
  </si>
  <si>
    <t xml:space="preserve">Nivel_3_Refuerzo_Resiliencia</t>
  </si>
  <si>
    <t xml:space="preserve">Descentralización de Nodos: Mover la toma de decisiones un peldaño hacia abajo o lateralmente.</t>
  </si>
  <si>
    <t xml:space="preserve">Incentivo Lateral: Fomentar interacción en malla sin pasar por el centroide principal.</t>
  </si>
  <si>
    <t xml:space="preserve">ALERTA_MAXIMA_RECRISTALIZACION</t>
  </si>
  <si>
    <t xml:space="preserve">ISG Crítico. Sugerencia: Parón técnico de 24h para reorganización estructural desde cero (Efecto 'Templado de Acero').</t>
  </si>
  <si>
    <t xml:space="preserve">1G1T1C
21.Parámetros</t>
  </si>
  <si>
    <t xml:space="preserve">► 21.01 Parámetros</t>
  </si>
  <si>
    <t xml:space="preserve">DATOS</t>
  </si>
  <si>
    <t xml:space="preserve">fecha</t>
  </si>
  <si>
    <t xml:space="preserve">20260103 # creación</t>
  </si>
  <si>
    <t xml:space="preserve">clave</t>
  </si>
  <si>
    <t xml:space="preserve">AG-M-1G-1T-1C-6V-16.</t>
  </si>
  <si>
    <t xml:space="preserve">grupos</t>
  </si>
  <si>
    <t xml:space="preserve">(1G), 16. # tamaños de los grupos</t>
  </si>
  <si>
    <t xml:space="preserve">Tiempos</t>
  </si>
  <si>
    <t xml:space="preserve">(1G1T), 20251115. # fechas de aplicación</t>
  </si>
  <si>
    <t xml:space="preserve">Criterios</t>
  </si>
  <si>
    <t xml:space="preserve">(1C), 'tarea' # criterios de elección</t>
  </si>
  <si>
    <t xml:space="preserve">Series</t>
  </si>
  <si>
    <t xml:space="preserve">(1G1T1C), g1t1c1</t>
  </si>
  <si>
    <t xml:space="preserve">Cohesion</t>
  </si>
  <si>
    <t xml:space="preserve">(GxTxC)</t>
  </si>
  <si>
    <t xml:space="preserve">Salida</t>
  </si>
  <si>
    <t xml:space="preserve">xlsx</t>
  </si>
  <si>
    <t xml:space="preserve">6V</t>
  </si>
  <si>
    <t xml:space="preserve">(6), SX, ED, EC, EDU, ECO, FAM</t>
  </si>
  <si>
    <t xml:space="preserve">► 16.</t>
  </si>
  <si>
    <t xml:space="preserve">(4,4), tem, fun, cog, afe</t>
  </si>
  <si>
    <t xml:space="preserve">1G1T1C
► 23. GRASMANIANO &amp; TRÍADAS</t>
  </si>
  <si>
    <t xml:space="preserve">► 23.01 GEOMETRÍA DEL GRASMANIANO Gr(k,N) Y POSITROIDES</t>
  </si>
  <si>
    <t xml:space="preserve">Métrica / Parámetro Topológico</t>
  </si>
  <si>
    <t xml:space="preserve">Valor Obtenido</t>
  </si>
  <si>
    <t xml:space="preserve">Diagnóstico / Estado</t>
  </si>
  <si>
    <t xml:space="preserve">Espacio Variedad Grasmaniana</t>
  </si>
  <si>
    <t xml:space="preserve">Gr(2, 5)</t>
  </si>
  <si>
    <t xml:space="preserve">Variedad Manifold Activa</t>
  </si>
  <si>
    <t xml:space="preserve">Dimensión del Subespacio Vectorial</t>
  </si>
  <si>
    <t xml:space="preserve">Dimensión k(N-k) = 6</t>
  </si>
  <si>
    <t xml:space="preserve">¿Clasificación Positroide (Pura)?</t>
  </si>
  <si>
    <t xml:space="preserve">SÍ</t>
  </si>
  <si>
    <t xml:space="preserve">Cristalización Pura</t>
  </si>
  <si>
    <t xml:space="preserve">Índice de Coherencia Positroide (C_pos)</t>
  </si>
  <si>
    <t xml:space="preserve">Coherencia Topológica Estructurada</t>
  </si>
  <si>
    <t xml:space="preserve">Fase Topológica Estructural</t>
  </si>
  <si>
    <t xml:space="preserve">SÓLIDO (Cristalización)</t>
  </si>
  <si>
    <t xml:space="preserve">Fase Ecosistémica Global</t>
  </si>
  <si>
    <t xml:space="preserve">Número de Violaciones Combinatorias (Cruces)</t>
  </si>
  <si>
    <t xml:space="preserve">Fricciones en Cruces Vectoriales</t>
  </si>
  <si>
    <t xml:space="preserve">► 23.02 EQUILIBRIO DE TRÍADAS (TEORÍA P-O-X Y CANON Q81)</t>
  </si>
  <si>
    <t xml:space="preserve">Indicador Triádico</t>
  </si>
  <si>
    <t xml:space="preserve">Frecuencia / Valor</t>
  </si>
  <si>
    <t xml:space="preserve">Interpretación Socio-Termodinámica</t>
  </si>
  <si>
    <t xml:space="preserve">Tríos y Pares Equilibrados (Positivos)</t>
  </si>
  <si>
    <t xml:space="preserve">Afinidades y elecciones armónicas</t>
  </si>
  <si>
    <t xml:space="preserve">Tríos y Pares Desequilibrados (Tensión/Conflicto)</t>
  </si>
  <si>
    <t xml:space="preserve">Rechazos o fricciones cruzadas</t>
  </si>
  <si>
    <t xml:space="preserve">Índice de Equilibrio Triádico (E_tri %)</t>
  </si>
  <si>
    <t xml:space="preserve">Proporción de balance estructural</t>
  </si>
  <si>
    <t xml:space="preserve">Estado de Balance Triádico (P-O-X)</t>
  </si>
  <si>
    <t xml:space="preserve">ESTABLE / EQUILIBRADO</t>
  </si>
  <si>
    <t xml:space="preserve">Equilibrio Heideriano en Q81</t>
  </si>
  <si>
    <t xml:space="preserve">► 23.03 DIAGNÓSTICO TERMODINÁMICO DE JAMMING (ATRAPAMIENTO)</t>
  </si>
  <si>
    <t xml:space="preserve">Variable Termodinámica</t>
  </si>
  <si>
    <t xml:space="preserve">Magnitud</t>
  </si>
  <si>
    <t xml:space="preserve">Dictamen Ecosistémico</t>
  </si>
  <si>
    <t xml:space="preserve">Densidad Absoluta (BDR - Actividad Bruta)</t>
  </si>
  <si>
    <t xml:space="preserve">Energía relacional total emitida</t>
  </si>
  <si>
    <t xml:space="preserve">Densidad Relativa (SDR - Estructura Cualitativa)</t>
  </si>
  <si>
    <t xml:space="preserve">Sintonía vincular neta recíproca</t>
  </si>
  <si>
    <t xml:space="preserve">Brecha de Jamming / Ruido (Dif2 = BDR - SDR)</t>
  </si>
  <si>
    <t xml:space="preserve">Nivel de interferencia sociométrica</t>
  </si>
  <si>
    <t xml:space="preserve">Entropía Sociométrica del Sistema (H_soc)</t>
  </si>
  <si>
    <t xml:space="preserve">Dispersión entrópica de la red</t>
  </si>
  <si>
    <t xml:space="preserve">Diagnóstico de Jamming (Atrapamiento)</t>
  </si>
  <si>
    <t xml:space="preserve">DESBLOQUEADO (Unjammed)</t>
  </si>
  <si>
    <t xml:space="preserve">Estado de fluidez vs congestión</t>
  </si>
  <si>
    <t xml:space="preserve">► 23.04 MATRIZ DE COORDENADAS Y DENSIDADES GRASMANIANAS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</si>
</sst>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"/>
    <numFmt numFmtId="166" formatCode="0.00%"/>
    <numFmt numFmtId="167" formatCode="0.0%"/>
    <numFmt numFmtId="168" formatCode="0"/>
    <numFmt numFmtId="169" formatCode="#,##0.00"/>
    <numFmt numFmtId="170" formatCode="0.00&quot;% &quot;"/>
    <numFmt numFmtId="171" formatCode="0.0000"/>
  </numFmts>
  <fonts count="5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2"/>
      <charset val="1"/>
    </font>
    <font>
      <b val="true"/>
      <sz val="10"/>
      <color rgb="FF555555"/>
      <name val="Calibri"/>
      <family val="2"/>
      <charset val="1"/>
    </font>
    <font>
      <b val="true"/>
      <sz val="10"/>
      <color rgb="FF111111"/>
      <name val="Calibri"/>
      <family val="2"/>
      <charset val="1"/>
    </font>
    <font>
      <i val="true"/>
      <sz val="10"/>
      <color rgb="FF2980B9"/>
      <name val="Calibri"/>
      <family val="2"/>
      <charset val="1"/>
    </font>
    <font>
      <b val="true"/>
      <i val="true"/>
      <sz val="10"/>
      <color rgb="FF006400"/>
      <name val="Calibri"/>
      <family val="2"/>
      <charset val="1"/>
    </font>
    <font>
      <sz val="10"/>
      <color rgb="FFD35400"/>
      <name val="Calibri"/>
      <family val="2"/>
      <charset val="1"/>
    </font>
    <font>
      <b val="true"/>
      <sz val="14"/>
      <color rgb="FFFFFFFF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color rgb="FFF2CBF8"/>
      <name val="Calibri"/>
      <family val="2"/>
      <charset val="1"/>
    </font>
    <font>
      <b val="true"/>
      <sz val="11"/>
      <color rgb="FF0F172A"/>
      <name val="Calibri"/>
      <family val="2"/>
      <charset val="1"/>
    </font>
    <font>
      <b val="true"/>
      <sz val="14"/>
      <color rgb="FF0F172A"/>
      <name val="Calibri"/>
      <family val="2"/>
      <charset val="1"/>
    </font>
    <font>
      <b val="true"/>
      <sz val="11"/>
      <color rgb="FF10B981"/>
      <name val="Calibri"/>
      <family val="2"/>
      <charset val="1"/>
    </font>
    <font>
      <sz val="11"/>
      <color rgb="FF10B981"/>
      <name val="Calibri"/>
      <family val="2"/>
      <charset val="1"/>
    </font>
    <font>
      <b val="true"/>
      <sz val="11"/>
      <color rgb="FF2563EB"/>
      <name val="Calibri"/>
      <family val="2"/>
      <charset val="1"/>
    </font>
    <font>
      <sz val="11"/>
      <color rgb="FFDC2626"/>
      <name val="Calibri"/>
      <family val="2"/>
      <charset val="1"/>
    </font>
    <font>
      <b val="true"/>
      <sz val="11"/>
      <color rgb="FFDC2626"/>
      <name val="Calibri"/>
      <family val="2"/>
      <charset val="1"/>
    </font>
    <font>
      <sz val="11"/>
      <color rgb="FF0F172A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sz val="11"/>
      <color rgb="FFD36118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b val="true"/>
      <sz val="11"/>
      <color rgb="FFD39C16"/>
      <name val="Calibri"/>
      <family val="2"/>
      <charset val="1"/>
    </font>
    <font>
      <b val="true"/>
      <sz val="11"/>
      <color rgb="FFC00000"/>
      <name val="Calibri"/>
      <family val="2"/>
      <charset val="1"/>
    </font>
    <font>
      <sz val="11"/>
      <color rgb="FF2563EB"/>
      <name val="Calibri"/>
      <family val="2"/>
      <charset val="1"/>
    </font>
    <font>
      <b val="true"/>
      <sz val="11"/>
      <color rgb="FFD36118"/>
      <name val="Calibri"/>
      <family val="2"/>
      <charset val="1"/>
    </font>
    <font>
      <sz val="11"/>
      <color rgb="FF000000"/>
      <name val="Calibri"/>
      <family val="2"/>
      <charset val="1"/>
    </font>
    <font>
      <b val="true"/>
      <sz val="11"/>
      <color rgb="FFC65911"/>
      <name val="Calibri"/>
      <family val="2"/>
      <charset val="1"/>
    </font>
    <font>
      <b val="true"/>
      <sz val="12"/>
      <color theme="1"/>
      <name val="Calibri"/>
      <family val="2"/>
      <charset val="1"/>
    </font>
    <font>
      <sz val="11"/>
      <color rgb="FF808080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2"/>
      <color rgb="FFFFFFFF"/>
      <name val="Calibri"/>
      <family val="2"/>
      <charset val="1"/>
    </font>
    <font>
      <b val="true"/>
      <sz val="13"/>
      <color rgb="FF0F172A"/>
      <name val="Calibri"/>
      <family val="2"/>
      <charset val="1"/>
    </font>
    <font>
      <b val="true"/>
      <sz val="10"/>
      <color rgb="FF0F172A"/>
      <name val="Calibri"/>
      <family val="2"/>
      <charset val="1"/>
    </font>
    <font>
      <b val="true"/>
      <u val="single"/>
      <sz val="11"/>
      <color rgb="FF1E40AF"/>
      <name val="Calibri"/>
      <family val="2"/>
      <charset val="1"/>
    </font>
    <font>
      <b val="true"/>
      <sz val="11"/>
      <color rgb="FF1E40AF"/>
      <name val="Calibri"/>
      <family val="2"/>
      <charset val="1"/>
    </font>
    <font>
      <b val="true"/>
      <sz val="11"/>
      <color rgb="FFB91C1C"/>
      <name val="Calibri"/>
      <family val="2"/>
      <charset val="1"/>
    </font>
    <font>
      <sz val="10"/>
      <color theme="1"/>
      <name val="Calibri"/>
      <family val="2"/>
      <charset val="1"/>
    </font>
    <font>
      <b val="true"/>
      <sz val="10"/>
      <color theme="1"/>
      <name val="Calibri"/>
      <family val="2"/>
      <charset val="1"/>
    </font>
    <font>
      <sz val="10"/>
      <color rgb="FF0F172A"/>
      <name val="Calibri"/>
      <family val="2"/>
      <charset val="1"/>
    </font>
    <font>
      <b val="true"/>
      <sz val="10"/>
      <color rgb="FFFFFFFF"/>
      <name val="Calibri"/>
      <family val="2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9"/>
      <color rgb="FF0F172A"/>
      <name val="Calibri"/>
      <family val="2"/>
      <charset val="1"/>
    </font>
    <font>
      <b val="true"/>
      <sz val="11"/>
      <color rgb="FFCC3300"/>
      <name val="Calibri"/>
      <family val="2"/>
      <charset val="1"/>
    </font>
    <font>
      <sz val="11"/>
      <color rgb="FFCC3300"/>
      <name val="Calibri"/>
      <family val="2"/>
      <charset val="1"/>
    </font>
    <font>
      <sz val="11"/>
      <color rgb="FFFFFFFF"/>
      <name val="Calibri"/>
      <family val="2"/>
      <charset val="1"/>
    </font>
    <font>
      <b val="true"/>
      <sz val="11"/>
      <color rgb="FFE26B00"/>
      <name val="Calibri"/>
      <family val="2"/>
      <charset val="1"/>
    </font>
    <font>
      <b val="true"/>
      <sz val="14"/>
      <color rgb="FFFF0000"/>
      <name val="Outfit"/>
      <family val="2"/>
      <charset val="1"/>
    </font>
    <font>
      <b val="true"/>
      <sz val="10"/>
      <color rgb="FFFF0000"/>
      <name val="Outfit"/>
      <family val="2"/>
      <charset val="1"/>
    </font>
    <font>
      <sz val="10"/>
      <color theme="1"/>
      <name val="Outfit"/>
      <family val="2"/>
      <charset val="1"/>
    </font>
    <font>
      <b val="true"/>
      <sz val="11"/>
      <color rgb="FFFF0000"/>
      <name val="Outfit"/>
      <family val="2"/>
      <charset val="1"/>
    </font>
  </fonts>
  <fills count="55">
    <fill>
      <patternFill patternType="none"/>
    </fill>
    <fill>
      <patternFill patternType="gray125"/>
    </fill>
    <fill>
      <patternFill patternType="solid">
        <fgColor rgb="FF00A6FE"/>
        <bgColor rgb="FF3B82F6"/>
      </patternFill>
    </fill>
    <fill>
      <patternFill patternType="solid">
        <fgColor rgb="FFFDFBF7"/>
        <bgColor rgb="FFF8FAFC"/>
      </patternFill>
    </fill>
    <fill>
      <patternFill patternType="solid">
        <fgColor rgb="FFF0A05A"/>
        <bgColor rgb="FFFFB347"/>
      </patternFill>
    </fill>
    <fill>
      <patternFill patternType="solid">
        <fgColor rgb="FF1E3A8F"/>
        <bgColor rgb="FF293B64"/>
      </patternFill>
    </fill>
    <fill>
      <patternFill patternType="solid">
        <fgColor rgb="FF92E285"/>
        <bgColor rgb="FF92D050"/>
      </patternFill>
    </fill>
    <fill>
      <patternFill patternType="solid">
        <fgColor rgb="FFC99C00"/>
        <bgColor rgb="FFD49D16"/>
      </patternFill>
    </fill>
    <fill>
      <patternFill patternType="darkGray">
        <fgColor rgb="FF293B64"/>
        <bgColor rgb="FF1E3A8F"/>
      </patternFill>
    </fill>
    <fill>
      <patternFill patternType="solid">
        <fgColor rgb="FF13D934"/>
        <bgColor rgb="FF6CB358"/>
      </patternFill>
    </fill>
    <fill>
      <patternFill patternType="solid">
        <fgColor rgb="FFE2E8F0"/>
        <bgColor rgb="FFE7E6E6"/>
      </patternFill>
    </fill>
    <fill>
      <patternFill patternType="solid">
        <fgColor rgb="FF3B82F6"/>
        <bgColor rgb="FF3083A8"/>
      </patternFill>
    </fill>
    <fill>
      <patternFill patternType="mediumGray">
        <fgColor rgb="FF13D934"/>
        <bgColor rgb="FF00A6FE"/>
      </patternFill>
    </fill>
    <fill>
      <patternFill patternType="solid">
        <fgColor rgb="FFF8FAFC"/>
        <bgColor rgb="FFFDFBF7"/>
      </patternFill>
    </fill>
    <fill>
      <patternFill patternType="solid">
        <fgColor rgb="FFB7DEE8"/>
        <bgColor rgb="FFDEE1EE"/>
      </patternFill>
    </fill>
    <fill>
      <patternFill patternType="solid">
        <fgColor rgb="FFFCD5B4"/>
        <bgColor rgb="FFF8CBAD"/>
      </patternFill>
    </fill>
    <fill>
      <patternFill patternType="solid">
        <fgColor rgb="FFFFC000"/>
        <bgColor rgb="FFE9B913"/>
      </patternFill>
    </fill>
    <fill>
      <patternFill patternType="solid">
        <fgColor rgb="FFFFFFFF"/>
        <bgColor rgb="FFFDFBF7"/>
      </patternFill>
    </fill>
    <fill>
      <patternFill patternType="solid">
        <fgColor rgb="FFFDE9A9"/>
        <bgColor rgb="FFFFE699"/>
      </patternFill>
    </fill>
    <fill>
      <patternFill patternType="solid">
        <fgColor rgb="FF3083A8"/>
        <bgColor rgb="FF3B82F6"/>
      </patternFill>
    </fill>
    <fill>
      <patternFill patternType="mediumGray">
        <fgColor rgb="FFDEE1EE"/>
        <bgColor rgb="FFE7E6E6"/>
      </patternFill>
    </fill>
    <fill>
      <patternFill patternType="solid">
        <fgColor rgb="FFD49D16"/>
        <bgColor rgb="FFC99C00"/>
      </patternFill>
    </fill>
    <fill>
      <patternFill patternType="solid">
        <fgColor rgb="FFF4B084"/>
        <bgColor rgb="FFF0A05A"/>
      </patternFill>
    </fill>
    <fill>
      <patternFill patternType="solid">
        <fgColor rgb="FFF2F2F2"/>
        <bgColor rgb="FFF1F5F9"/>
      </patternFill>
    </fill>
    <fill>
      <patternFill patternType="solid">
        <fgColor rgb="FFF8CBAD"/>
        <bgColor rgb="FFF5CBA7"/>
      </patternFill>
    </fill>
    <fill>
      <patternFill patternType="solid">
        <fgColor rgb="FFFFE699"/>
        <bgColor rgb="FFFDE9A9"/>
      </patternFill>
    </fill>
    <fill>
      <patternFill patternType="solid">
        <fgColor rgb="FFFCE4D6"/>
        <bgColor rgb="FFFFE6CC"/>
      </patternFill>
    </fill>
    <fill>
      <patternFill patternType="solid">
        <fgColor rgb="FF6CB358"/>
        <bgColor rgb="FF92D050"/>
      </patternFill>
    </fill>
    <fill>
      <patternFill patternType="solid">
        <fgColor rgb="FF00A6FE"/>
        <bgColor rgb="FF3B82F6"/>
      </patternFill>
    </fill>
    <fill>
      <patternFill patternType="solid">
        <fgColor rgb="FFE2EFDA"/>
        <bgColor rgb="FFE7E6E6"/>
      </patternFill>
    </fill>
    <fill>
      <patternFill patternType="solid">
        <fgColor rgb="FFFFF2CC"/>
        <bgColor rgb="FFFFF2E6"/>
      </patternFill>
    </fill>
    <fill>
      <patternFill patternType="solid">
        <fgColor rgb="FFDEE1EE"/>
        <bgColor rgb="FFE2E8F0"/>
      </patternFill>
    </fill>
    <fill>
      <patternFill patternType="darkGray">
        <fgColor rgb="FFDEE1EE"/>
        <bgColor rgb="FFE8D7EC"/>
      </patternFill>
    </fill>
    <fill>
      <patternFill patternType="solid">
        <fgColor rgb="FFE9B913"/>
        <bgColor rgb="FFFFC000"/>
      </patternFill>
    </fill>
    <fill>
      <patternFill patternType="mediumGray">
        <fgColor rgb="FF0F1523"/>
        <bgColor rgb="FF0A3514"/>
      </patternFill>
    </fill>
    <fill>
      <patternFill patternType="solid">
        <fgColor rgb="FFF1F5F9"/>
        <bgColor rgb="FFF4F6F7"/>
      </patternFill>
    </fill>
    <fill>
      <patternFill patternType="solid">
        <fgColor rgb="FFFFFF00"/>
        <bgColor rgb="FFFFD966"/>
      </patternFill>
    </fill>
    <fill>
      <patternFill patternType="solid">
        <fgColor rgb="FFDDAA00"/>
        <bgColor rgb="FFD49D16"/>
      </patternFill>
    </fill>
    <fill>
      <patternFill patternType="solid">
        <fgColor rgb="FFD3B3FF"/>
        <bgColor rgb="FFE8D7EC"/>
      </patternFill>
    </fill>
    <fill>
      <patternFill patternType="solid">
        <fgColor rgb="FF9BC2E6"/>
        <bgColor rgb="FF99CCFF"/>
      </patternFill>
    </fill>
    <fill>
      <patternFill patternType="solid">
        <fgColor rgb="FF5B9BD5"/>
        <bgColor rgb="FF3B82F6"/>
      </patternFill>
    </fill>
    <fill>
      <patternFill patternType="solid">
        <fgColor rgb="FFFF3366"/>
        <bgColor rgb="FFF8696B"/>
      </patternFill>
    </fill>
    <fill>
      <patternFill patternType="solid">
        <fgColor rgb="FFF8696B"/>
        <bgColor rgb="FFD85F05"/>
      </patternFill>
    </fill>
    <fill>
      <patternFill patternType="solid">
        <fgColor rgb="FF92D050"/>
        <bgColor rgb="FF92E285"/>
      </patternFill>
    </fill>
    <fill>
      <patternFill patternType="solid">
        <fgColor rgb="FFFFB347"/>
        <bgColor rgb="FFF0A05A"/>
      </patternFill>
    </fill>
    <fill>
      <patternFill patternType="solid">
        <fgColor rgb="FF0166D5"/>
        <bgColor rgb="FF3083A8"/>
      </patternFill>
    </fill>
    <fill>
      <patternFill patternType="solid">
        <fgColor rgb="FFFFE6CC"/>
        <bgColor rgb="FFFCE4D6"/>
      </patternFill>
    </fill>
    <fill>
      <patternFill patternType="solid">
        <fgColor rgb="FFFFF2E6"/>
        <bgColor rgb="FFFDF2E9"/>
      </patternFill>
    </fill>
    <fill>
      <patternFill patternType="solid">
        <fgColor rgb="FFFFCC99"/>
        <bgColor rgb="FFF5CBA7"/>
      </patternFill>
    </fill>
    <fill>
      <patternFill patternType="solid">
        <fgColor rgb="FFF5CBA7"/>
        <bgColor rgb="FFF8CBAD"/>
      </patternFill>
    </fill>
    <fill>
      <patternFill patternType="solid">
        <fgColor rgb="FFFFD966"/>
        <bgColor rgb="FFFFE699"/>
      </patternFill>
    </fill>
    <fill>
      <patternFill patternType="solid">
        <fgColor rgb="FFFDF2E9"/>
        <bgColor rgb="FFFFF2E6"/>
      </patternFill>
    </fill>
    <fill>
      <patternFill patternType="darkGray">
        <fgColor rgb="FFD51608"/>
        <bgColor rgb="FFFF3366"/>
      </patternFill>
    </fill>
    <fill>
      <patternFill patternType="solid">
        <fgColor rgb="FFE7E6E6"/>
        <bgColor rgb="FFE2E8F0"/>
      </patternFill>
    </fill>
    <fill>
      <patternFill patternType="solid">
        <fgColor rgb="FFF4F6F7"/>
        <bgColor rgb="FFF1F5F9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49D16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7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1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17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6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2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21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21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22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0" fillId="22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2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1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2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7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2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2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3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1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6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3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14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1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2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16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13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32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14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2" fillId="1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16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13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1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2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2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1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5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2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2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29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7" fillId="3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31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8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9" fillId="1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2" fillId="3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2" fillId="1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5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1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3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3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9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5" fillId="1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9" fillId="2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3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3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0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17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6" fillId="10" borderId="2" xfId="0" applyFont="true" applyBorder="true" applyAlignment="true" applyProtection="false">
      <alignment horizontal="center" vertical="center" textRotation="45" wrapText="false" indent="0" shrinkToFit="false"/>
      <protection locked="true" hidden="false"/>
    </xf>
    <xf numFmtId="164" fontId="0" fillId="3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0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8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3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25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25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38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38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39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37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39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37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4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2" xfId="0" applyFont="fals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41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39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2" fillId="4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9" fillId="2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2" fillId="4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4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4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7" fillId="4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8" fillId="4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7" fillId="4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9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9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8" fillId="4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49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32" fillId="4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32" fillId="4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4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4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11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5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2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6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2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1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9" fillId="5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5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2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5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3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3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7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0" fillId="3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1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2" fillId="3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3" fillId="5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3" fillId="5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4" fillId="3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0" fillId="3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13D934"/>
      <rgbColor rgb="FFF4F6F7"/>
      <rgbColor rgb="FFFFFF00"/>
      <rgbColor rgb="FFF8CBAD"/>
      <rgbColor rgb="FFB7DEE8"/>
      <rgbColor rgb="FFF2F2F2"/>
      <rgbColor rgb="FFE9B913"/>
      <rgbColor rgb="FFF8FAFC"/>
      <rgbColor rgb="FFC99C00"/>
      <rgbColor rgb="FFE7E6E6"/>
      <rgbColor rgb="FFFFB347"/>
      <rgbColor rgb="FF9BC2E6"/>
      <rgbColor rgb="FF858585"/>
      <rgbColor rgb="FF5B9BD5"/>
      <rgbColor rgb="FFFF3366"/>
      <rgbColor rgb="FFFFF2CC"/>
      <rgbColor rgb="FFF1F5F9"/>
      <rgbColor rgb="FFFFE699"/>
      <rgbColor rgb="FFF8696B"/>
      <rgbColor rgb="FF0166D5"/>
      <rgbColor rgb="FFE8D7EC"/>
      <rgbColor rgb="FFFDFBF7"/>
      <rgbColor rgb="FFFCD5B4"/>
      <rgbColor rgb="FFFFD966"/>
      <rgbColor rgb="FFDEE1EE"/>
      <rgbColor rgb="FFFCE4D6"/>
      <rgbColor rgb="FFFFF2E6"/>
      <rgbColor rgb="FFF5CBA7"/>
      <rgbColor rgb="FFFDF2E9"/>
      <rgbColor rgb="FF00A6FE"/>
      <rgbColor rgb="FFE2E8F0"/>
      <rgbColor rgb="FFE2EFDA"/>
      <rgbColor rgb="FFFDE9A9"/>
      <rgbColor rgb="FF99CCFF"/>
      <rgbColor rgb="FFF4B084"/>
      <rgbColor rgb="FFD3B3FF"/>
      <rgbColor rgb="FFFFCC99"/>
      <rgbColor rgb="FF3B82F6"/>
      <rgbColor rgb="FF92E285"/>
      <rgbColor rgb="FF92D050"/>
      <rgbColor rgb="FFFFC000"/>
      <rgbColor rgb="FFDDAA00"/>
      <rgbColor rgb="FFD85F05"/>
      <rgbColor rgb="FFD49D16"/>
      <rgbColor rgb="FF6CB358"/>
      <rgbColor rgb="FFFFE6CC"/>
      <rgbColor rgb="FF3083A8"/>
      <rgbColor rgb="FF0A3514"/>
      <rgbColor rgb="FF0F1523"/>
      <rgbColor rgb="FFD51608"/>
      <rgbColor rgb="FFF0A05A"/>
      <rgbColor rgb="FF1E3A8F"/>
      <rgbColor rgb="FF293B6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lang="es-ES"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Media AAG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"Media"</c:f>
              <c:strCache>
                <c:ptCount val="1"/>
                <c:pt idx="0">
                  <c:v>Media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5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lang="es-ES"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'8.AAG_D'!$A$38:$A$43</c:f>
              <c:strCache>
                <c:ptCount val="6"/>
                <c:pt idx="0">
                  <c:v>sx</c:v>
                </c:pt>
                <c:pt idx="1">
                  <c:v>ed</c:v>
                </c:pt>
                <c:pt idx="2">
                  <c:v>ec</c:v>
                </c:pt>
                <c:pt idx="3">
                  <c:v>edu</c:v>
                </c:pt>
                <c:pt idx="4">
                  <c:v>eco</c:v>
                </c:pt>
                <c:pt idx="5">
                  <c:v>fam</c:v>
                </c:pt>
              </c:strCache>
            </c:strRef>
          </c:cat>
          <c:val>
            <c:numRef>
              <c:f>'8.AAG_D'!$B$38:$B$43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0563371"/>
        <c:axId val="66208952"/>
      </c:lineChart>
      <c:catAx>
        <c:axId val="5056337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lang="es-ES"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6208952"/>
        <c:crosses val="autoZero"/>
        <c:auto val="1"/>
        <c:lblAlgn val="ctr"/>
        <c:lblOffset val="100"/>
        <c:noMultiLvlLbl val="0"/>
      </c:catAx>
      <c:valAx>
        <c:axId val="6620895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lang="es-ES"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056337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lang="es-ES"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lang="es-ES"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Dispersión AAG Dicotómico (SDA vs SRC)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'8.AAG_D'!$A$49</c:f>
              <c:strCache>
                <c:ptCount val="1"/>
                <c:pt idx="0">
                  <c:v>+sx</c:v>
                </c:pt>
              </c:strCache>
            </c:strRef>
          </c:tx>
          <c:spPr>
            <a:solidFill>
              <a:srgbClr val="99ccff"/>
            </a:solidFill>
            <a:ln w="28440">
              <a:noFill/>
            </a:ln>
          </c:spPr>
          <c:dLbls>
            <c:txPr>
              <a:bodyPr wrap="square"/>
              <a:lstStyle/>
              <a:p>
                <a:pPr>
                  <a:defRPr lang="es-ES"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1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'8.AAG_D'!$B$49</c:f>
              <c:numCache>
                <c:formatCode>General</c:formatCode>
                <c:ptCount val="1"/>
                <c:pt idx="0">
                  <c:v>-0.395333333333333</c:v>
                </c:pt>
              </c:numCache>
            </c:numRef>
          </c:xVal>
          <c:yVal>
            <c:numRef>
              <c:f>'8.AAG_D'!$C$49</c:f>
              <c:numCache>
                <c:formatCode>General</c:formatCode>
                <c:ptCount val="1"/>
                <c:pt idx="0">
                  <c:v>-0.412333333333333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'8.AAG_D'!$A$50</c:f>
              <c:strCache>
                <c:ptCount val="1"/>
                <c:pt idx="0">
                  <c:v>-sx</c:v>
                </c:pt>
              </c:strCache>
            </c:strRef>
          </c:tx>
          <c:spPr>
            <a:solidFill>
              <a:srgbClr val="99ccff"/>
            </a:solidFill>
            <a:ln w="28440">
              <a:noFill/>
            </a:ln>
          </c:spPr>
          <c:dLbls>
            <c:txPr>
              <a:bodyPr wrap="square"/>
              <a:lstStyle/>
              <a:p>
                <a:pPr>
                  <a:defRPr lang="es-ES"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1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'8.AAG_D'!$B$50</c:f>
              <c:numCache>
                <c:formatCode>General</c:formatCode>
                <c:ptCount val="1"/>
                <c:pt idx="0">
                  <c:v>-0.522</c:v>
                </c:pt>
              </c:numCache>
            </c:numRef>
          </c:xVal>
          <c:yVal>
            <c:numRef>
              <c:f>'8.AAG_D'!$C$50</c:f>
              <c:numCache>
                <c:formatCode>General</c:formatCode>
                <c:ptCount val="1"/>
                <c:pt idx="0">
                  <c:v>-0.5375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'8.AAG_D'!$A$51</c:f>
              <c:strCache>
                <c:ptCount val="1"/>
                <c:pt idx="0">
                  <c:v>+ed</c:v>
                </c:pt>
              </c:strCache>
            </c:strRef>
          </c:tx>
          <c:spPr>
            <a:solidFill>
              <a:srgbClr val="99ccff"/>
            </a:solidFill>
            <a:ln w="28440">
              <a:noFill/>
            </a:ln>
          </c:spPr>
          <c:dLbls>
            <c:txPr>
              <a:bodyPr wrap="square"/>
              <a:lstStyle/>
              <a:p>
                <a:pPr>
                  <a:defRPr lang="es-ES"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1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'8.AAG_D'!$B$51</c:f>
              <c:numCache>
                <c:formatCode>General</c:formatCode>
                <c:ptCount val="1"/>
                <c:pt idx="0">
                  <c:v>-0.9875</c:v>
                </c:pt>
              </c:numCache>
            </c:numRef>
          </c:xVal>
          <c:yVal>
            <c:numRef>
              <c:f>'8.AAG_D'!$C$51</c:f>
              <c:numCache>
                <c:formatCode>General</c:formatCode>
                <c:ptCount val="1"/>
                <c:pt idx="0">
                  <c:v>-1.008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'8.AAG_D'!$A$52</c:f>
              <c:strCache>
                <c:ptCount val="1"/>
                <c:pt idx="0">
                  <c:v>-ed</c:v>
                </c:pt>
              </c:strCache>
            </c:strRef>
          </c:tx>
          <c:spPr>
            <a:solidFill>
              <a:srgbClr val="99ccff"/>
            </a:solidFill>
            <a:ln w="28440">
              <a:noFill/>
            </a:ln>
          </c:spPr>
          <c:dLbls>
            <c:txPr>
              <a:bodyPr wrap="square"/>
              <a:lstStyle/>
              <a:p>
                <a:pPr>
                  <a:defRPr lang="es-ES"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1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'8.AAG_D'!$B$52</c:f>
              <c:numCache>
                <c:formatCode>General</c:formatCode>
                <c:ptCount val="1"/>
                <c:pt idx="0">
                  <c:v>-0.0850000000000001</c:v>
                </c:pt>
              </c:numCache>
            </c:numRef>
          </c:xVal>
          <c:yVal>
            <c:numRef>
              <c:f>'8.AAG_D'!$C$52</c:f>
              <c:numCache>
                <c:formatCode>General</c:formatCode>
                <c:ptCount val="1"/>
                <c:pt idx="0">
                  <c:v>-0.0986666666666668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'8.AAG_D'!$A$53</c:f>
              <c:strCache>
                <c:ptCount val="1"/>
                <c:pt idx="0">
                  <c:v>+ec</c:v>
                </c:pt>
              </c:strCache>
            </c:strRef>
          </c:tx>
          <c:spPr>
            <a:solidFill>
              <a:srgbClr val="99ccff"/>
            </a:solidFill>
            <a:ln w="28440">
              <a:noFill/>
            </a:ln>
          </c:spPr>
          <c:dLbls>
            <c:txPr>
              <a:bodyPr wrap="square"/>
              <a:lstStyle/>
              <a:p>
                <a:pPr>
                  <a:defRPr lang="es-ES"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1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'8.AAG_D'!$B$53</c:f>
              <c:numCache>
                <c:formatCode>General</c:formatCode>
                <c:ptCount val="1"/>
                <c:pt idx="0">
                  <c:v>-0.5895</c:v>
                </c:pt>
              </c:numCache>
            </c:numRef>
          </c:xVal>
          <c:yVal>
            <c:numRef>
              <c:f>'8.AAG_D'!$C$53</c:f>
              <c:numCache>
                <c:formatCode>General</c:formatCode>
                <c:ptCount val="1"/>
                <c:pt idx="0">
                  <c:v>-0.612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'8.AAG_D'!$A$54</c:f>
              <c:strCache>
                <c:ptCount val="1"/>
                <c:pt idx="0">
                  <c:v>-ec</c:v>
                </c:pt>
              </c:strCache>
            </c:strRef>
          </c:tx>
          <c:spPr>
            <a:solidFill>
              <a:srgbClr val="99ccff"/>
            </a:solidFill>
            <a:ln w="28440">
              <a:noFill/>
            </a:ln>
          </c:spPr>
          <c:dLbls>
            <c:txPr>
              <a:bodyPr wrap="square"/>
              <a:lstStyle/>
              <a:p>
                <a:pPr>
                  <a:defRPr lang="es-ES"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1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'8.AAG_D'!$B$54</c:f>
              <c:numCache>
                <c:formatCode>General</c:formatCode>
                <c:ptCount val="1"/>
                <c:pt idx="0">
                  <c:v>-0.350333333333333</c:v>
                </c:pt>
              </c:numCache>
            </c:numRef>
          </c:xVal>
          <c:yVal>
            <c:numRef>
              <c:f>'8.AAG_D'!$C$54</c:f>
              <c:numCache>
                <c:formatCode>General</c:formatCode>
                <c:ptCount val="1"/>
                <c:pt idx="0">
                  <c:v>-0.362666666666667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'8.AAG_D'!$A$55</c:f>
              <c:strCache>
                <c:ptCount val="1"/>
                <c:pt idx="0">
                  <c:v>+edu</c:v>
                </c:pt>
              </c:strCache>
            </c:strRef>
          </c:tx>
          <c:spPr>
            <a:solidFill>
              <a:srgbClr val="99ccff"/>
            </a:solidFill>
            <a:ln w="28440">
              <a:noFill/>
            </a:ln>
          </c:spPr>
          <c:dLbls>
            <c:txPr>
              <a:bodyPr wrap="square"/>
              <a:lstStyle/>
              <a:p>
                <a:pPr>
                  <a:defRPr lang="es-ES"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1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'8.AAG_D'!$B$55</c:f>
              <c:numCache>
                <c:formatCode>General</c:formatCode>
                <c:ptCount val="1"/>
                <c:pt idx="0">
                  <c:v>-0.522</c:v>
                </c:pt>
              </c:numCache>
            </c:numRef>
          </c:xVal>
          <c:yVal>
            <c:numRef>
              <c:f>'8.AAG_D'!$C$55</c:f>
              <c:numCache>
                <c:formatCode>General</c:formatCode>
                <c:ptCount val="1"/>
                <c:pt idx="0">
                  <c:v>-0.5375</c:v>
                </c:pt>
              </c:numCache>
            </c:numRef>
          </c:yVal>
          <c:smooth val="0"/>
        </c:ser>
        <c:ser>
          <c:idx val="7"/>
          <c:order val="7"/>
          <c:tx>
            <c:strRef>
              <c:f>'8.AAG_D'!$A$56</c:f>
              <c:strCache>
                <c:ptCount val="1"/>
                <c:pt idx="0">
                  <c:v>-edu</c:v>
                </c:pt>
              </c:strCache>
            </c:strRef>
          </c:tx>
          <c:spPr>
            <a:solidFill>
              <a:srgbClr val="99ccff"/>
            </a:solidFill>
            <a:ln w="28440">
              <a:noFill/>
            </a:ln>
          </c:spPr>
          <c:dLbls>
            <c:txPr>
              <a:bodyPr wrap="square"/>
              <a:lstStyle/>
              <a:p>
                <a:pPr>
                  <a:defRPr lang="es-ES"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1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'8.AAG_D'!$B$56</c:f>
              <c:numCache>
                <c:formatCode>General</c:formatCode>
                <c:ptCount val="1"/>
                <c:pt idx="0">
                  <c:v>-0.395333333333333</c:v>
                </c:pt>
              </c:numCache>
            </c:numRef>
          </c:xVal>
          <c:yVal>
            <c:numRef>
              <c:f>'8.AAG_D'!$C$56</c:f>
              <c:numCache>
                <c:formatCode>General</c:formatCode>
                <c:ptCount val="1"/>
                <c:pt idx="0">
                  <c:v>-0.412333333333333</c:v>
                </c:pt>
              </c:numCache>
            </c:numRef>
          </c:yVal>
          <c:smooth val="0"/>
        </c:ser>
        <c:ser>
          <c:idx val="8"/>
          <c:order val="8"/>
          <c:tx>
            <c:strRef>
              <c:f>'8.AAG_D'!$A$57</c:f>
              <c:strCache>
                <c:ptCount val="1"/>
                <c:pt idx="0">
                  <c:v>+eco</c:v>
                </c:pt>
              </c:strCache>
            </c:strRef>
          </c:tx>
          <c:spPr>
            <a:solidFill>
              <a:srgbClr val="99ccff"/>
            </a:solidFill>
            <a:ln w="28440">
              <a:noFill/>
            </a:ln>
          </c:spPr>
          <c:dLbls>
            <c:txPr>
              <a:bodyPr wrap="square"/>
              <a:lstStyle/>
              <a:p>
                <a:pPr>
                  <a:defRPr lang="es-ES"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1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'8.AAG_D'!$B$57</c:f>
              <c:numCache>
                <c:formatCode>General</c:formatCode>
                <c:ptCount val="1"/>
                <c:pt idx="0">
                  <c:v>-0.350333333333333</c:v>
                </c:pt>
              </c:numCache>
            </c:numRef>
          </c:xVal>
          <c:yVal>
            <c:numRef>
              <c:f>'8.AAG_D'!$C$57</c:f>
              <c:numCache>
                <c:formatCode>General</c:formatCode>
                <c:ptCount val="1"/>
                <c:pt idx="0">
                  <c:v>-0.362666666666667</c:v>
                </c:pt>
              </c:numCache>
            </c:numRef>
          </c:yVal>
          <c:smooth val="0"/>
        </c:ser>
        <c:ser>
          <c:idx val="9"/>
          <c:order val="9"/>
          <c:tx>
            <c:strRef>
              <c:f>'8.AAG_D'!$A$58</c:f>
              <c:strCache>
                <c:ptCount val="1"/>
                <c:pt idx="0">
                  <c:v>-eco</c:v>
                </c:pt>
              </c:strCache>
            </c:strRef>
          </c:tx>
          <c:spPr>
            <a:solidFill>
              <a:srgbClr val="99ccff"/>
            </a:solidFill>
            <a:ln w="28440">
              <a:noFill/>
            </a:ln>
          </c:spPr>
          <c:dLbls>
            <c:txPr>
              <a:bodyPr wrap="square"/>
              <a:lstStyle/>
              <a:p>
                <a:pPr>
                  <a:defRPr lang="es-ES"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1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'8.AAG_D'!$B$58</c:f>
              <c:numCache>
                <c:formatCode>General</c:formatCode>
                <c:ptCount val="1"/>
                <c:pt idx="0">
                  <c:v>-0.5895</c:v>
                </c:pt>
              </c:numCache>
            </c:numRef>
          </c:xVal>
          <c:yVal>
            <c:numRef>
              <c:f>'8.AAG_D'!$C$58</c:f>
              <c:numCache>
                <c:formatCode>General</c:formatCode>
                <c:ptCount val="1"/>
                <c:pt idx="0">
                  <c:v>-0.612</c:v>
                </c:pt>
              </c:numCache>
            </c:numRef>
          </c:yVal>
          <c:smooth val="0"/>
        </c:ser>
        <c:ser>
          <c:idx val="10"/>
          <c:order val="10"/>
          <c:tx>
            <c:strRef>
              <c:f>'8.AAG_D'!$A$59</c:f>
              <c:strCache>
                <c:ptCount val="1"/>
                <c:pt idx="0">
                  <c:v>+fam</c:v>
                </c:pt>
              </c:strCache>
            </c:strRef>
          </c:tx>
          <c:spPr>
            <a:solidFill>
              <a:srgbClr val="99ccff"/>
            </a:solidFill>
            <a:ln w="28440">
              <a:noFill/>
            </a:ln>
          </c:spPr>
          <c:dLbls>
            <c:txPr>
              <a:bodyPr wrap="square"/>
              <a:lstStyle/>
              <a:p>
                <a:pPr>
                  <a:defRPr lang="es-ES"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1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'8.AAG_D'!$B$59</c:f>
              <c:numCache>
                <c:formatCode>General</c:formatCode>
                <c:ptCount val="1"/>
                <c:pt idx="0">
                  <c:v>-0.7605</c:v>
                </c:pt>
              </c:numCache>
            </c:numRef>
          </c:xVal>
          <c:yVal>
            <c:numRef>
              <c:f>'8.AAG_D'!$C$59</c:f>
              <c:numCache>
                <c:formatCode>General</c:formatCode>
                <c:ptCount val="1"/>
                <c:pt idx="0">
                  <c:v>-0.779</c:v>
                </c:pt>
              </c:numCache>
            </c:numRef>
          </c:yVal>
          <c:smooth val="0"/>
        </c:ser>
        <c:ser>
          <c:idx val="11"/>
          <c:order val="11"/>
          <c:tx>
            <c:strRef>
              <c:f>'8.AAG_D'!$A$60</c:f>
              <c:strCache>
                <c:ptCount val="1"/>
                <c:pt idx="0">
                  <c:v>-fam</c:v>
                </c:pt>
              </c:strCache>
            </c:strRef>
          </c:tx>
          <c:spPr>
            <a:solidFill>
              <a:srgbClr val="99ccff"/>
            </a:solidFill>
            <a:ln w="28440">
              <a:noFill/>
            </a:ln>
          </c:spPr>
          <c:dLbls>
            <c:txPr>
              <a:bodyPr wrap="square"/>
              <a:lstStyle/>
              <a:p>
                <a:pPr>
                  <a:defRPr lang="es-ES"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1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'8.AAG_D'!$B$60</c:f>
              <c:numCache>
                <c:formatCode>General</c:formatCode>
                <c:ptCount val="1"/>
                <c:pt idx="0">
                  <c:v>-0.236333333333333</c:v>
                </c:pt>
              </c:numCache>
            </c:numRef>
          </c:xVal>
          <c:yVal>
            <c:numRef>
              <c:f>'8.AAG_D'!$C$60</c:f>
              <c:numCache>
                <c:formatCode>General</c:formatCode>
                <c:ptCount val="1"/>
                <c:pt idx="0">
                  <c:v>-0.251333333333333</c:v>
                </c:pt>
              </c:numCache>
            </c:numRef>
          </c:yVal>
          <c:smooth val="0"/>
        </c:ser>
        <c:axId val="68864301"/>
        <c:axId val="50656628"/>
      </c:scatterChart>
      <c:valAx>
        <c:axId val="6886430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s-ES"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SDA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lang="es-ES"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0656628"/>
        <c:crosses val="autoZero"/>
        <c:crossBetween val="midCat"/>
      </c:valAx>
      <c:valAx>
        <c:axId val="506566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s-ES"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SRC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lang="es-ES"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8864301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lang="es-ES"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Contrastes AAG - Sujeto 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"a_de 1"</c:f>
              <c:strCache>
                <c:ptCount val="1"/>
                <c:pt idx="0">
                  <c:v>a_de 1</c:v>
                </c:pt>
              </c:strCache>
            </c:strRef>
          </c:tx>
          <c:spPr>
            <a:solidFill>
              <a:srgbClr val="63be7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lang="es-ES"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'9.AAG_Meta'!$D$8:$F$8</c:f>
              <c:multiLvlStrCache>
                <c:ptCount val="1"/>
                <c:lvl>
                  <c:pt idx="0">
                    <c:v>fam</c:v>
                  </c:pt>
                </c:lvl>
                <c:lvl>
                  <c:pt idx="0">
                    <c:v>eco</c:v>
                  </c:pt>
                </c:lvl>
                <c:lvl>
                  <c:pt idx="0">
                    <c:v>edu</c:v>
                  </c:pt>
                </c:lvl>
              </c:multiLvlStrCache>
            </c:multiLvlStrRef>
          </c:cat>
          <c:val>
            <c:numRef>
              <c:f>'9.AAG_Meta'!$D$10:$F$10</c:f>
              <c:numCache>
                <c:formatCode>0.00</c:formatCode>
                <c:ptCount val="3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</c:numCache>
            </c:numRef>
          </c:val>
        </c:ser>
        <c:ser>
          <c:idx val="1"/>
          <c:order val="1"/>
          <c:tx>
            <c:strRef>
              <c:f>"o_de 1"</c:f>
              <c:strCache>
                <c:ptCount val="1"/>
                <c:pt idx="0">
                  <c:v>o_de 1</c:v>
                </c:pt>
              </c:strCache>
            </c:strRef>
          </c:tx>
          <c:spPr>
            <a:solidFill>
              <a:srgbClr val="f8696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lang="es-ES"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'9.AAG_Meta'!$D$8:$F$8</c:f>
              <c:multiLvlStrCache>
                <c:ptCount val="1"/>
                <c:lvl>
                  <c:pt idx="0">
                    <c:v>fam</c:v>
                  </c:pt>
                </c:lvl>
                <c:lvl>
                  <c:pt idx="0">
                    <c:v>eco</c:v>
                  </c:pt>
                </c:lvl>
                <c:lvl>
                  <c:pt idx="0">
                    <c:v>edu</c:v>
                  </c:pt>
                </c:lvl>
              </c:multiLvlStrCache>
            </c:multiLvlStrRef>
          </c:cat>
          <c:val>
            <c:numRef>
              <c:f>'9.AAG_Meta'!$D$11:$F$11</c:f>
              <c:numCache>
                <c:formatCode>0.00</c:formatCode>
                <c:ptCount val="3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</c:numCache>
            </c:numRef>
          </c:val>
        </c:ser>
        <c:ser>
          <c:idx val="2"/>
          <c:order val="2"/>
          <c:tx>
            <c:strRef>
              <c:f>"a - o"</c:f>
              <c:strCache>
                <c:ptCount val="1"/>
                <c:pt idx="0">
                  <c:v>a - o</c:v>
                </c:pt>
              </c:strCache>
            </c:strRef>
          </c:tx>
          <c:spPr>
            <a:solidFill>
              <a:srgbClr val="ffc00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lang="es-ES"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'9.AAG_Meta'!$D$8:$F$8</c:f>
              <c:multiLvlStrCache>
                <c:ptCount val="1"/>
                <c:lvl>
                  <c:pt idx="0">
                    <c:v>fam</c:v>
                  </c:pt>
                </c:lvl>
                <c:lvl>
                  <c:pt idx="0">
                    <c:v>eco</c:v>
                  </c:pt>
                </c:lvl>
                <c:lvl>
                  <c:pt idx="0">
                    <c:v>edu</c:v>
                  </c:pt>
                </c:lvl>
              </c:multiLvlStrCache>
            </c:multiLvlStrRef>
          </c:cat>
          <c:val>
            <c:numRef>
              <c:f>'9.AAG_Meta'!$D$12:$F$12</c:f>
              <c:numCache>
                <c:formatCode>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gapWidth val="150"/>
        <c:overlap val="0"/>
        <c:axId val="49733373"/>
        <c:axId val="8276452"/>
      </c:barChart>
      <c:catAx>
        <c:axId val="4973337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s-ES"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Adjetivos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lang="es-ES"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276452"/>
        <c:crosses val="autoZero"/>
        <c:auto val="1"/>
        <c:lblAlgn val="ctr"/>
        <c:lblOffset val="100"/>
        <c:noMultiLvlLbl val="0"/>
      </c:catAx>
      <c:valAx>
        <c:axId val="827645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s-ES"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Diferencias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lang="es-ES"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973337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lang="es-ES"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lang="es-ES"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Contrastes AAG - Sujeto 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"a_de 2"</c:f>
              <c:strCache>
                <c:ptCount val="1"/>
                <c:pt idx="0">
                  <c:v>a_de 2</c:v>
                </c:pt>
              </c:strCache>
            </c:strRef>
          </c:tx>
          <c:spPr>
            <a:solidFill>
              <a:srgbClr val="63be7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lang="es-ES"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'9.AAG_Meta'!$D$8:$F$8</c:f>
              <c:multiLvlStrCache>
                <c:ptCount val="1"/>
                <c:lvl>
                  <c:pt idx="0">
                    <c:v>fam</c:v>
                  </c:pt>
                </c:lvl>
                <c:lvl>
                  <c:pt idx="0">
                    <c:v>eco</c:v>
                  </c:pt>
                </c:lvl>
                <c:lvl>
                  <c:pt idx="0">
                    <c:v>edu</c:v>
                  </c:pt>
                </c:lvl>
              </c:multiLvlStrCache>
            </c:multiLvlStrRef>
          </c:cat>
          <c:val>
            <c:numRef>
              <c:f>'9.AAG_Meta'!$D$14:$F$14</c:f>
              <c:numCache>
                <c:formatCode>0.00</c:formatCode>
                <c:ptCount val="3"/>
                <c:pt idx="0">
                  <c:v>-0.333333333333333</c:v>
                </c:pt>
                <c:pt idx="1">
                  <c:v>-0.333333333333334</c:v>
                </c:pt>
                <c:pt idx="2">
                  <c:v>-0.333333333333333</c:v>
                </c:pt>
              </c:numCache>
            </c:numRef>
          </c:val>
        </c:ser>
        <c:ser>
          <c:idx val="1"/>
          <c:order val="1"/>
          <c:tx>
            <c:strRef>
              <c:f>"o_de 2"</c:f>
              <c:strCache>
                <c:ptCount val="1"/>
                <c:pt idx="0">
                  <c:v>o_de 2</c:v>
                </c:pt>
              </c:strCache>
            </c:strRef>
          </c:tx>
          <c:spPr>
            <a:solidFill>
              <a:srgbClr val="f8696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lang="es-ES"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'9.AAG_Meta'!$D$8:$F$8</c:f>
              <c:multiLvlStrCache>
                <c:ptCount val="1"/>
                <c:lvl>
                  <c:pt idx="0">
                    <c:v>fam</c:v>
                  </c:pt>
                </c:lvl>
                <c:lvl>
                  <c:pt idx="0">
                    <c:v>eco</c:v>
                  </c:pt>
                </c:lvl>
                <c:lvl>
                  <c:pt idx="0">
                    <c:v>edu</c:v>
                  </c:pt>
                </c:lvl>
              </c:multiLvlStrCache>
            </c:multiLvlStrRef>
          </c:cat>
          <c:val>
            <c:numRef>
              <c:f>'9.AAG_Meta'!$D$15:$F$15</c:f>
              <c:numCache>
                <c:formatCode>0.00</c:formatCode>
                <c:ptCount val="3"/>
                <c:pt idx="0">
                  <c:v>-0.5</c:v>
                </c:pt>
                <c:pt idx="1">
                  <c:v>-0.5</c:v>
                </c:pt>
                <c:pt idx="2">
                  <c:v>-0.5</c:v>
                </c:pt>
              </c:numCache>
            </c:numRef>
          </c:val>
        </c:ser>
        <c:ser>
          <c:idx val="2"/>
          <c:order val="2"/>
          <c:tx>
            <c:strRef>
              <c:f>"a - o"</c:f>
              <c:strCache>
                <c:ptCount val="1"/>
                <c:pt idx="0">
                  <c:v>a - o</c:v>
                </c:pt>
              </c:strCache>
            </c:strRef>
          </c:tx>
          <c:spPr>
            <a:solidFill>
              <a:srgbClr val="ffc00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lang="es-ES"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'9.AAG_Meta'!$D$8:$F$8</c:f>
              <c:multiLvlStrCache>
                <c:ptCount val="1"/>
                <c:lvl>
                  <c:pt idx="0">
                    <c:v>fam</c:v>
                  </c:pt>
                </c:lvl>
                <c:lvl>
                  <c:pt idx="0">
                    <c:v>eco</c:v>
                  </c:pt>
                </c:lvl>
                <c:lvl>
                  <c:pt idx="0">
                    <c:v>edu</c:v>
                  </c:pt>
                </c:lvl>
              </c:multiLvlStrCache>
            </c:multiLvlStrRef>
          </c:cat>
          <c:val>
            <c:numRef>
              <c:f>'9.AAG_Meta'!$D$16:$F$16</c:f>
              <c:numCache>
                <c:formatCode>0.00</c:formatCode>
                <c:ptCount val="3"/>
                <c:pt idx="0">
                  <c:v>0.166666666666667</c:v>
                </c:pt>
                <c:pt idx="1">
                  <c:v>0.166666666666667</c:v>
                </c:pt>
                <c:pt idx="2">
                  <c:v>0.166666666666667</c:v>
                </c:pt>
              </c:numCache>
            </c:numRef>
          </c:val>
        </c:ser>
        <c:gapWidth val="150"/>
        <c:overlap val="0"/>
        <c:axId val="60871616"/>
        <c:axId val="29383192"/>
      </c:barChart>
      <c:catAx>
        <c:axId val="6087161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s-ES"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Adjetivos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lang="es-ES"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9383192"/>
        <c:crosses val="autoZero"/>
        <c:auto val="1"/>
        <c:lblAlgn val="ctr"/>
        <c:lblOffset val="100"/>
        <c:noMultiLvlLbl val="0"/>
      </c:catAx>
      <c:valAx>
        <c:axId val="2938319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s-ES"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Diferencias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lang="es-ES"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087161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lang="es-ES"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lang="es-ES"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Contrastes AAG - Sujeto 3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"a_de 3"</c:f>
              <c:strCache>
                <c:ptCount val="1"/>
                <c:pt idx="0">
                  <c:v>a_de 3</c:v>
                </c:pt>
              </c:strCache>
            </c:strRef>
          </c:tx>
          <c:spPr>
            <a:solidFill>
              <a:srgbClr val="63be7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lang="es-ES"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'9.AAG_Meta'!$D$8:$F$8</c:f>
              <c:multiLvlStrCache>
                <c:ptCount val="1"/>
                <c:lvl>
                  <c:pt idx="0">
                    <c:v>fam</c:v>
                  </c:pt>
                </c:lvl>
                <c:lvl>
                  <c:pt idx="0">
                    <c:v>eco</c:v>
                  </c:pt>
                </c:lvl>
                <c:lvl>
                  <c:pt idx="0">
                    <c:v>edu</c:v>
                  </c:pt>
                </c:lvl>
              </c:multiLvlStrCache>
            </c:multiLvlStrRef>
          </c:cat>
          <c:val>
            <c:numRef>
              <c:f>'9.AAG_Meta'!$D$18:$F$18</c:f>
              <c:numCache>
                <c:formatCode>0.00</c:formatCode>
                <c:ptCount val="3"/>
                <c:pt idx="0">
                  <c:v>0.5</c:v>
                </c:pt>
              </c:numCache>
            </c:numRef>
          </c:val>
        </c:ser>
        <c:ser>
          <c:idx val="1"/>
          <c:order val="1"/>
          <c:tx>
            <c:strRef>
              <c:f>"o_de 3"</c:f>
              <c:strCache>
                <c:ptCount val="1"/>
                <c:pt idx="0">
                  <c:v>o_de 3</c:v>
                </c:pt>
              </c:strCache>
            </c:strRef>
          </c:tx>
          <c:spPr>
            <a:solidFill>
              <a:srgbClr val="f8696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lang="es-ES"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'9.AAG_Meta'!$D$8:$F$8</c:f>
              <c:multiLvlStrCache>
                <c:ptCount val="1"/>
                <c:lvl>
                  <c:pt idx="0">
                    <c:v>fam</c:v>
                  </c:pt>
                </c:lvl>
                <c:lvl>
                  <c:pt idx="0">
                    <c:v>eco</c:v>
                  </c:pt>
                </c:lvl>
                <c:lvl>
                  <c:pt idx="0">
                    <c:v>edu</c:v>
                  </c:pt>
                </c:lvl>
              </c:multiLvlStrCache>
            </c:multiLvlStrRef>
          </c:cat>
          <c:val>
            <c:numRef>
              <c:f>'9.AAG_Meta'!$D$19:$F$19</c:f>
              <c:numCache>
                <c:formatCode>0.00</c:formatCode>
                <c:ptCount val="3"/>
                <c:pt idx="0">
                  <c:v>0.5</c:v>
                </c:pt>
              </c:numCache>
            </c:numRef>
          </c:val>
        </c:ser>
        <c:ser>
          <c:idx val="2"/>
          <c:order val="2"/>
          <c:tx>
            <c:strRef>
              <c:f>"a - o"</c:f>
              <c:strCache>
                <c:ptCount val="1"/>
                <c:pt idx="0">
                  <c:v>a - o</c:v>
                </c:pt>
              </c:strCache>
            </c:strRef>
          </c:tx>
          <c:spPr>
            <a:solidFill>
              <a:srgbClr val="ffc00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lang="es-ES"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'9.AAG_Meta'!$D$8:$F$8</c:f>
              <c:multiLvlStrCache>
                <c:ptCount val="1"/>
                <c:lvl>
                  <c:pt idx="0">
                    <c:v>fam</c:v>
                  </c:pt>
                </c:lvl>
                <c:lvl>
                  <c:pt idx="0">
                    <c:v>eco</c:v>
                  </c:pt>
                </c:lvl>
                <c:lvl>
                  <c:pt idx="0">
                    <c:v>edu</c:v>
                  </c:pt>
                </c:lvl>
              </c:multiLvlStrCache>
            </c:multiLvlStrRef>
          </c:cat>
          <c:val>
            <c:numRef>
              <c:f>'9.AAG_Meta'!$D$20:$F$20</c:f>
              <c:numCache>
                <c:formatCode>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gapWidth val="150"/>
        <c:overlap val="0"/>
        <c:axId val="94835533"/>
        <c:axId val="51826812"/>
      </c:barChart>
      <c:catAx>
        <c:axId val="9483553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s-ES"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Adjetivos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lang="es-ES"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1826812"/>
        <c:crosses val="autoZero"/>
        <c:auto val="1"/>
        <c:lblAlgn val="ctr"/>
        <c:lblOffset val="100"/>
        <c:noMultiLvlLbl val="0"/>
      </c:catAx>
      <c:valAx>
        <c:axId val="5182681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s-ES"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Diferencias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lang="es-ES"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483553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lang="es-ES"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lang="es-ES"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Contrastes AAG - Sujeto 4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"a_de 4"</c:f>
              <c:strCache>
                <c:ptCount val="1"/>
                <c:pt idx="0">
                  <c:v>a_de 4</c:v>
                </c:pt>
              </c:strCache>
            </c:strRef>
          </c:tx>
          <c:spPr>
            <a:solidFill>
              <a:srgbClr val="63be7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lang="es-ES"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'9.AAG_Meta'!$D$8:$F$8</c:f>
              <c:multiLvlStrCache>
                <c:ptCount val="1"/>
                <c:lvl>
                  <c:pt idx="0">
                    <c:v>fam</c:v>
                  </c:pt>
                </c:lvl>
                <c:lvl>
                  <c:pt idx="0">
                    <c:v>eco</c:v>
                  </c:pt>
                </c:lvl>
                <c:lvl>
                  <c:pt idx="0">
                    <c:v>edu</c:v>
                  </c:pt>
                </c:lvl>
              </c:multiLvlStrCache>
            </c:multiLvlStrRef>
          </c:cat>
          <c:val>
            <c:numRef>
              <c:f>'9.AAG_Meta'!$D$22:$F$22</c:f>
              <c:numCache>
                <c:formatCode>0.00</c:formatCode>
                <c:ptCount val="3"/>
                <c:pt idx="0">
                  <c:v>-0.5</c:v>
                </c:pt>
                <c:pt idx="1">
                  <c:v>0.5</c:v>
                </c:pt>
              </c:numCache>
            </c:numRef>
          </c:val>
        </c:ser>
        <c:ser>
          <c:idx val="1"/>
          <c:order val="1"/>
          <c:tx>
            <c:strRef>
              <c:f>"o_de 4"</c:f>
              <c:strCache>
                <c:ptCount val="1"/>
                <c:pt idx="0">
                  <c:v>o_de 4</c:v>
                </c:pt>
              </c:strCache>
            </c:strRef>
          </c:tx>
          <c:spPr>
            <a:solidFill>
              <a:srgbClr val="f8696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lang="es-ES"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'9.AAG_Meta'!$D$8:$F$8</c:f>
              <c:multiLvlStrCache>
                <c:ptCount val="1"/>
                <c:lvl>
                  <c:pt idx="0">
                    <c:v>fam</c:v>
                  </c:pt>
                </c:lvl>
                <c:lvl>
                  <c:pt idx="0">
                    <c:v>eco</c:v>
                  </c:pt>
                </c:lvl>
                <c:lvl>
                  <c:pt idx="0">
                    <c:v>edu</c:v>
                  </c:pt>
                </c:lvl>
              </c:multiLvlStrCache>
            </c:multiLvlStrRef>
          </c:cat>
          <c:val>
            <c:numRef>
              <c:f>'9.AAG_Meta'!$D$23:$F$23</c:f>
              <c:numCache>
                <c:formatCode>0.00</c:formatCode>
                <c:ptCount val="3"/>
                <c:pt idx="0">
                  <c:v>-0.5</c:v>
                </c:pt>
                <c:pt idx="1">
                  <c:v>0.5</c:v>
                </c:pt>
              </c:numCache>
            </c:numRef>
          </c:val>
        </c:ser>
        <c:ser>
          <c:idx val="2"/>
          <c:order val="2"/>
          <c:tx>
            <c:strRef>
              <c:f>"a - o"</c:f>
              <c:strCache>
                <c:ptCount val="1"/>
                <c:pt idx="0">
                  <c:v>a - o</c:v>
                </c:pt>
              </c:strCache>
            </c:strRef>
          </c:tx>
          <c:spPr>
            <a:solidFill>
              <a:srgbClr val="ffc00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lang="es-ES"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'9.AAG_Meta'!$D$8:$F$8</c:f>
              <c:multiLvlStrCache>
                <c:ptCount val="1"/>
                <c:lvl>
                  <c:pt idx="0">
                    <c:v>fam</c:v>
                  </c:pt>
                </c:lvl>
                <c:lvl>
                  <c:pt idx="0">
                    <c:v>eco</c:v>
                  </c:pt>
                </c:lvl>
                <c:lvl>
                  <c:pt idx="0">
                    <c:v>edu</c:v>
                  </c:pt>
                </c:lvl>
              </c:multiLvlStrCache>
            </c:multiLvlStrRef>
          </c:cat>
          <c:val>
            <c:numRef>
              <c:f>'9.AAG_Meta'!$D$24:$F$24</c:f>
              <c:numCache>
                <c:formatCode>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gapWidth val="150"/>
        <c:overlap val="0"/>
        <c:axId val="67903847"/>
        <c:axId val="88132909"/>
      </c:barChart>
      <c:catAx>
        <c:axId val="6790384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s-ES"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Adjetivos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lang="es-ES"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8132909"/>
        <c:crosses val="autoZero"/>
        <c:auto val="1"/>
        <c:lblAlgn val="ctr"/>
        <c:lblOffset val="100"/>
        <c:noMultiLvlLbl val="0"/>
      </c:catAx>
      <c:valAx>
        <c:axId val="8813290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s-ES"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Diferencias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lang="es-ES"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790384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lang="es-ES"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lang="es-ES"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Contrastes AAG - Sujeto 5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"a_de 5"</c:f>
              <c:strCache>
                <c:ptCount val="1"/>
                <c:pt idx="0">
                  <c:v>a_de 5</c:v>
                </c:pt>
              </c:strCache>
            </c:strRef>
          </c:tx>
          <c:spPr>
            <a:solidFill>
              <a:srgbClr val="63be7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lang="es-ES"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'9.AAG_Meta'!$D$8:$F$8</c:f>
              <c:multiLvlStrCache>
                <c:ptCount val="1"/>
                <c:lvl>
                  <c:pt idx="0">
                    <c:v>fam</c:v>
                  </c:pt>
                </c:lvl>
                <c:lvl>
                  <c:pt idx="0">
                    <c:v>eco</c:v>
                  </c:pt>
                </c:lvl>
                <c:lvl>
                  <c:pt idx="0">
                    <c:v>edu</c:v>
                  </c:pt>
                </c:lvl>
              </c:multiLvlStrCache>
            </c:multiLvlStrRef>
          </c:cat>
          <c:val>
            <c:numRef>
              <c:f>'9.AAG_Meta'!$D$26:$F$26</c:f>
              <c:numCache>
                <c:formatCode>0.00</c:formatCode>
                <c:ptCount val="3"/>
                <c:pt idx="0">
                  <c:v>0.5</c:v>
                </c:pt>
                <c:pt idx="1">
                  <c:v>-0.5</c:v>
                </c:pt>
                <c:pt idx="2">
                  <c:v>0.5</c:v>
                </c:pt>
              </c:numCache>
            </c:numRef>
          </c:val>
        </c:ser>
        <c:ser>
          <c:idx val="1"/>
          <c:order val="1"/>
          <c:tx>
            <c:strRef>
              <c:f>"o_de 5"</c:f>
              <c:strCache>
                <c:ptCount val="1"/>
                <c:pt idx="0">
                  <c:v>o_de 5</c:v>
                </c:pt>
              </c:strCache>
            </c:strRef>
          </c:tx>
          <c:spPr>
            <a:solidFill>
              <a:srgbClr val="f8696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lang="es-ES"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'9.AAG_Meta'!$D$8:$F$8</c:f>
              <c:multiLvlStrCache>
                <c:ptCount val="1"/>
                <c:lvl>
                  <c:pt idx="0">
                    <c:v>fam</c:v>
                  </c:pt>
                </c:lvl>
                <c:lvl>
                  <c:pt idx="0">
                    <c:v>eco</c:v>
                  </c:pt>
                </c:lvl>
                <c:lvl>
                  <c:pt idx="0">
                    <c:v>edu</c:v>
                  </c:pt>
                </c:lvl>
              </c:multiLvlStrCache>
            </c:multiLvlStrRef>
          </c:cat>
          <c:val>
            <c:numRef>
              <c:f>'9.AAG_Meta'!$D$27:$F$27</c:f>
              <c:numCache>
                <c:formatCode>0.00</c:formatCode>
                <c:ptCount val="3"/>
                <c:pt idx="0">
                  <c:v>0.5</c:v>
                </c:pt>
                <c:pt idx="1">
                  <c:v>-0.5</c:v>
                </c:pt>
                <c:pt idx="2">
                  <c:v>0.5</c:v>
                </c:pt>
              </c:numCache>
            </c:numRef>
          </c:val>
        </c:ser>
        <c:ser>
          <c:idx val="2"/>
          <c:order val="2"/>
          <c:tx>
            <c:strRef>
              <c:f>"a - o"</c:f>
              <c:strCache>
                <c:ptCount val="1"/>
                <c:pt idx="0">
                  <c:v>a - o</c:v>
                </c:pt>
              </c:strCache>
            </c:strRef>
          </c:tx>
          <c:spPr>
            <a:solidFill>
              <a:srgbClr val="ffc00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lang="es-ES"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'9.AAG_Meta'!$D$8:$F$8</c:f>
              <c:multiLvlStrCache>
                <c:ptCount val="1"/>
                <c:lvl>
                  <c:pt idx="0">
                    <c:v>fam</c:v>
                  </c:pt>
                </c:lvl>
                <c:lvl>
                  <c:pt idx="0">
                    <c:v>eco</c:v>
                  </c:pt>
                </c:lvl>
                <c:lvl>
                  <c:pt idx="0">
                    <c:v>edu</c:v>
                  </c:pt>
                </c:lvl>
              </c:multiLvlStrCache>
            </c:multiLvlStrRef>
          </c:cat>
          <c:val>
            <c:numRef>
              <c:f>'9.AAG_Meta'!$D$28:$F$28</c:f>
              <c:numCache>
                <c:formatCode>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gapWidth val="150"/>
        <c:overlap val="0"/>
        <c:axId val="84934793"/>
        <c:axId val="71185036"/>
      </c:barChart>
      <c:catAx>
        <c:axId val="8493479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s-ES"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Adjetivos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lang="es-ES"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1185036"/>
        <c:crosses val="autoZero"/>
        <c:auto val="1"/>
        <c:lblAlgn val="ctr"/>
        <c:lblOffset val="100"/>
        <c:noMultiLvlLbl val="0"/>
      </c:catAx>
      <c:valAx>
        <c:axId val="7118503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s-ES"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Diferencias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lang="es-ES"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493479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lang="es-ES"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.xml"/><Relationship Id="rId3" Type="http://schemas.openxmlformats.org/officeDocument/2006/relationships/chart" Target="../charts/chart2.xml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3.xml"/><Relationship Id="rId3" Type="http://schemas.openxmlformats.org/officeDocument/2006/relationships/chart" Target="../charts/chart4.xml"/><Relationship Id="rId4" Type="http://schemas.openxmlformats.org/officeDocument/2006/relationships/chart" Target="../charts/chart5.xml"/><Relationship Id="rId5" Type="http://schemas.openxmlformats.org/officeDocument/2006/relationships/chart" Target="../charts/chart6.xml"/><Relationship Id="rId6" Type="http://schemas.openxmlformats.org/officeDocument/2006/relationships/chart" Target="../charts/chart7.xml"/>
</Relationships>
</file>

<file path=xl/drawings/_rels/drawing1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
</Relationships>
</file>

<file path=xl/drawings/_rels/drawing1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13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14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15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16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17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18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19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0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
</Relationships>
</file>

<file path=xl/drawings/_rels/drawing2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3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4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47520</xdr:colOff>
      <xdr:row>0</xdr:row>
      <xdr:rowOff>47520</xdr:rowOff>
    </xdr:from>
    <xdr:to>
      <xdr:col>1</xdr:col>
      <xdr:colOff>41400</xdr:colOff>
      <xdr:row>4</xdr:row>
      <xdr:rowOff>32040</xdr:rowOff>
    </xdr:to>
    <xdr:pic>
      <xdr:nvPicPr>
        <xdr:cNvPr id="1" name="Picture 1" descr="logo_nexord_base.png"/>
        <xdr:cNvPicPr/>
      </xdr:nvPicPr>
      <xdr:blipFill>
        <a:blip r:embed="rId1"/>
        <a:stretch/>
      </xdr:blipFill>
      <xdr:spPr>
        <a:xfrm>
          <a:off x="47520" y="47520"/>
          <a:ext cx="1030680" cy="9752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47520</xdr:colOff>
      <xdr:row>0</xdr:row>
      <xdr:rowOff>47520</xdr:rowOff>
    </xdr:from>
    <xdr:to>
      <xdr:col>1</xdr:col>
      <xdr:colOff>451080</xdr:colOff>
      <xdr:row>4</xdr:row>
      <xdr:rowOff>32040</xdr:rowOff>
    </xdr:to>
    <xdr:pic>
      <xdr:nvPicPr>
        <xdr:cNvPr id="2" name="Picture 1" descr="logo_nexord_base.png"/>
        <xdr:cNvPicPr/>
      </xdr:nvPicPr>
      <xdr:blipFill>
        <a:blip r:embed="rId1"/>
        <a:stretch/>
      </xdr:blipFill>
      <xdr:spPr>
        <a:xfrm>
          <a:off x="47520" y="47520"/>
          <a:ext cx="1007280" cy="9752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47520</xdr:colOff>
      <xdr:row>0</xdr:row>
      <xdr:rowOff>47520</xdr:rowOff>
    </xdr:from>
    <xdr:to>
      <xdr:col>1</xdr:col>
      <xdr:colOff>451080</xdr:colOff>
      <xdr:row>4</xdr:row>
      <xdr:rowOff>32040</xdr:rowOff>
    </xdr:to>
    <xdr:pic>
      <xdr:nvPicPr>
        <xdr:cNvPr id="3" name="Picture 1" descr="logo_nexord_base.png"/>
        <xdr:cNvPicPr/>
      </xdr:nvPicPr>
      <xdr:blipFill>
        <a:blip r:embed="rId1"/>
        <a:stretch/>
      </xdr:blipFill>
      <xdr:spPr>
        <a:xfrm>
          <a:off x="47520" y="47520"/>
          <a:ext cx="1007280" cy="9752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47520</xdr:colOff>
      <xdr:row>0</xdr:row>
      <xdr:rowOff>47520</xdr:rowOff>
    </xdr:from>
    <xdr:to>
      <xdr:col>1</xdr:col>
      <xdr:colOff>451080</xdr:colOff>
      <xdr:row>4</xdr:row>
      <xdr:rowOff>32040</xdr:rowOff>
    </xdr:to>
    <xdr:pic>
      <xdr:nvPicPr>
        <xdr:cNvPr id="4" name="Picture 1" descr="logo_nexord_base.png"/>
        <xdr:cNvPicPr/>
      </xdr:nvPicPr>
      <xdr:blipFill>
        <a:blip r:embed="rId1"/>
        <a:stretch/>
      </xdr:blipFill>
      <xdr:spPr>
        <a:xfrm>
          <a:off x="47520" y="47520"/>
          <a:ext cx="1007280" cy="9752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47520</xdr:colOff>
      <xdr:row>0</xdr:row>
      <xdr:rowOff>47520</xdr:rowOff>
    </xdr:from>
    <xdr:to>
      <xdr:col>1</xdr:col>
      <xdr:colOff>451080</xdr:colOff>
      <xdr:row>4</xdr:row>
      <xdr:rowOff>32040</xdr:rowOff>
    </xdr:to>
    <xdr:pic>
      <xdr:nvPicPr>
        <xdr:cNvPr id="5" name="Picture 1" descr="logo_nexord_base.png"/>
        <xdr:cNvPicPr/>
      </xdr:nvPicPr>
      <xdr:blipFill>
        <a:blip r:embed="rId1"/>
        <a:stretch/>
      </xdr:blipFill>
      <xdr:spPr>
        <a:xfrm>
          <a:off x="47520" y="47520"/>
          <a:ext cx="1007280" cy="9752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47520</xdr:colOff>
      <xdr:row>0</xdr:row>
      <xdr:rowOff>47520</xdr:rowOff>
    </xdr:from>
    <xdr:to>
      <xdr:col>1</xdr:col>
      <xdr:colOff>451080</xdr:colOff>
      <xdr:row>4</xdr:row>
      <xdr:rowOff>32040</xdr:rowOff>
    </xdr:to>
    <xdr:pic>
      <xdr:nvPicPr>
        <xdr:cNvPr id="6" name="Picture 1" descr="logo_nexord_base.png"/>
        <xdr:cNvPicPr/>
      </xdr:nvPicPr>
      <xdr:blipFill>
        <a:blip r:embed="rId1"/>
        <a:stretch/>
      </xdr:blipFill>
      <xdr:spPr>
        <a:xfrm>
          <a:off x="47520" y="47520"/>
          <a:ext cx="1007280" cy="9752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47520</xdr:colOff>
      <xdr:row>0</xdr:row>
      <xdr:rowOff>47520</xdr:rowOff>
    </xdr:from>
    <xdr:to>
      <xdr:col>1</xdr:col>
      <xdr:colOff>451080</xdr:colOff>
      <xdr:row>4</xdr:row>
      <xdr:rowOff>32040</xdr:rowOff>
    </xdr:to>
    <xdr:pic>
      <xdr:nvPicPr>
        <xdr:cNvPr id="7" name="Picture 1" descr="logo_nexord_base.png"/>
        <xdr:cNvPicPr/>
      </xdr:nvPicPr>
      <xdr:blipFill>
        <a:blip r:embed="rId1"/>
        <a:stretch/>
      </xdr:blipFill>
      <xdr:spPr>
        <a:xfrm>
          <a:off x="47520" y="47520"/>
          <a:ext cx="1007280" cy="9752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47520</xdr:colOff>
      <xdr:row>0</xdr:row>
      <xdr:rowOff>47520</xdr:rowOff>
    </xdr:from>
    <xdr:to>
      <xdr:col>1</xdr:col>
      <xdr:colOff>451080</xdr:colOff>
      <xdr:row>4</xdr:row>
      <xdr:rowOff>32040</xdr:rowOff>
    </xdr:to>
    <xdr:pic>
      <xdr:nvPicPr>
        <xdr:cNvPr id="8" name="Picture 1" descr="logo_nexord_base.png"/>
        <xdr:cNvPicPr/>
      </xdr:nvPicPr>
      <xdr:blipFill>
        <a:blip r:embed="rId1"/>
        <a:stretch/>
      </xdr:blipFill>
      <xdr:spPr>
        <a:xfrm>
          <a:off x="47520" y="47520"/>
          <a:ext cx="1007280" cy="9752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15</xdr:col>
      <xdr:colOff>603360</xdr:colOff>
      <xdr:row>57</xdr:row>
      <xdr:rowOff>114120</xdr:rowOff>
    </xdr:to>
    <xdr:graphicFrame>
      <xdr:nvGraphicFramePr>
        <xdr:cNvPr id="9" name="Chart 2"/>
        <xdr:cNvGraphicFramePr/>
      </xdr:nvGraphicFramePr>
      <xdr:xfrm>
        <a:off x="2415600" y="7143840"/>
        <a:ext cx="7246080" cy="4114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0</xdr:colOff>
      <xdr:row>48</xdr:row>
      <xdr:rowOff>0</xdr:rowOff>
    </xdr:from>
    <xdr:to>
      <xdr:col>19</xdr:col>
      <xdr:colOff>603360</xdr:colOff>
      <xdr:row>76</xdr:row>
      <xdr:rowOff>151920</xdr:rowOff>
    </xdr:to>
    <xdr:graphicFrame>
      <xdr:nvGraphicFramePr>
        <xdr:cNvPr id="10" name="Chart 3"/>
        <xdr:cNvGraphicFramePr/>
      </xdr:nvGraphicFramePr>
      <xdr:xfrm>
        <a:off x="2415600" y="9429840"/>
        <a:ext cx="9661680" cy="5485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47520</xdr:colOff>
      <xdr:row>0</xdr:row>
      <xdr:rowOff>47520</xdr:rowOff>
    </xdr:from>
    <xdr:to>
      <xdr:col>1</xdr:col>
      <xdr:colOff>508320</xdr:colOff>
      <xdr:row>4</xdr:row>
      <xdr:rowOff>32040</xdr:rowOff>
    </xdr:to>
    <xdr:pic>
      <xdr:nvPicPr>
        <xdr:cNvPr id="11" name="Picture 1" descr="logo_nexord_base.png"/>
        <xdr:cNvPicPr/>
      </xdr:nvPicPr>
      <xdr:blipFill>
        <a:blip r:embed="rId1"/>
        <a:stretch/>
      </xdr:blipFill>
      <xdr:spPr>
        <a:xfrm>
          <a:off x="47520" y="47520"/>
          <a:ext cx="1004400" cy="9752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47520</xdr:colOff>
      <xdr:row>0</xdr:row>
      <xdr:rowOff>47520</xdr:rowOff>
    </xdr:from>
    <xdr:to>
      <xdr:col>1</xdr:col>
      <xdr:colOff>451080</xdr:colOff>
      <xdr:row>4</xdr:row>
      <xdr:rowOff>32040</xdr:rowOff>
    </xdr:to>
    <xdr:pic>
      <xdr:nvPicPr>
        <xdr:cNvPr id="12" name="Picture 1" descr="logo_nexord_base.png"/>
        <xdr:cNvPicPr/>
      </xdr:nvPicPr>
      <xdr:blipFill>
        <a:blip r:embed="rId1"/>
        <a:stretch/>
      </xdr:blipFill>
      <xdr:spPr>
        <a:xfrm>
          <a:off x="47520" y="47520"/>
          <a:ext cx="1007280" cy="9752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15</xdr:col>
      <xdr:colOff>228240</xdr:colOff>
      <xdr:row>22</xdr:row>
      <xdr:rowOff>56880</xdr:rowOff>
    </xdr:to>
    <xdr:graphicFrame>
      <xdr:nvGraphicFramePr>
        <xdr:cNvPr id="13" name="Chart 2"/>
        <xdr:cNvGraphicFramePr/>
      </xdr:nvGraphicFramePr>
      <xdr:xfrm>
        <a:off x="603720" y="1238400"/>
        <a:ext cx="8682840" cy="3295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23</xdr:row>
      <xdr:rowOff>0</xdr:rowOff>
    </xdr:from>
    <xdr:to>
      <xdr:col>15</xdr:col>
      <xdr:colOff>228240</xdr:colOff>
      <xdr:row>40</xdr:row>
      <xdr:rowOff>56880</xdr:rowOff>
    </xdr:to>
    <xdr:graphicFrame>
      <xdr:nvGraphicFramePr>
        <xdr:cNvPr id="14" name="Chart 3"/>
        <xdr:cNvGraphicFramePr/>
      </xdr:nvGraphicFramePr>
      <xdr:xfrm>
        <a:off x="603720" y="4667400"/>
        <a:ext cx="8682840" cy="3295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0</xdr:colOff>
      <xdr:row>41</xdr:row>
      <xdr:rowOff>0</xdr:rowOff>
    </xdr:from>
    <xdr:to>
      <xdr:col>15</xdr:col>
      <xdr:colOff>228240</xdr:colOff>
      <xdr:row>58</xdr:row>
      <xdr:rowOff>56880</xdr:rowOff>
    </xdr:to>
    <xdr:graphicFrame>
      <xdr:nvGraphicFramePr>
        <xdr:cNvPr id="15" name="Chart 4"/>
        <xdr:cNvGraphicFramePr/>
      </xdr:nvGraphicFramePr>
      <xdr:xfrm>
        <a:off x="603720" y="8096400"/>
        <a:ext cx="8682840" cy="3295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59</xdr:row>
      <xdr:rowOff>0</xdr:rowOff>
    </xdr:from>
    <xdr:to>
      <xdr:col>15</xdr:col>
      <xdr:colOff>228240</xdr:colOff>
      <xdr:row>76</xdr:row>
      <xdr:rowOff>56880</xdr:rowOff>
    </xdr:to>
    <xdr:graphicFrame>
      <xdr:nvGraphicFramePr>
        <xdr:cNvPr id="16" name="Chart 5"/>
        <xdr:cNvGraphicFramePr/>
      </xdr:nvGraphicFramePr>
      <xdr:xfrm>
        <a:off x="603720" y="11525400"/>
        <a:ext cx="8682840" cy="3295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</xdr:col>
      <xdr:colOff>0</xdr:colOff>
      <xdr:row>77</xdr:row>
      <xdr:rowOff>0</xdr:rowOff>
    </xdr:from>
    <xdr:to>
      <xdr:col>15</xdr:col>
      <xdr:colOff>228240</xdr:colOff>
      <xdr:row>94</xdr:row>
      <xdr:rowOff>56880</xdr:rowOff>
    </xdr:to>
    <xdr:graphicFrame>
      <xdr:nvGraphicFramePr>
        <xdr:cNvPr id="17" name="Chart 6"/>
        <xdr:cNvGraphicFramePr/>
      </xdr:nvGraphicFramePr>
      <xdr:xfrm>
        <a:off x="603720" y="14954400"/>
        <a:ext cx="8682840" cy="3295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47520</xdr:colOff>
      <xdr:row>0</xdr:row>
      <xdr:rowOff>47520</xdr:rowOff>
    </xdr:from>
    <xdr:to>
      <xdr:col>1</xdr:col>
      <xdr:colOff>451080</xdr:colOff>
      <xdr:row>4</xdr:row>
      <xdr:rowOff>32040</xdr:rowOff>
    </xdr:to>
    <xdr:pic>
      <xdr:nvPicPr>
        <xdr:cNvPr id="18" name="Picture 1" descr="logo_nexord_base.png"/>
        <xdr:cNvPicPr/>
      </xdr:nvPicPr>
      <xdr:blipFill>
        <a:blip r:embed="rId1"/>
        <a:stretch/>
      </xdr:blipFill>
      <xdr:spPr>
        <a:xfrm>
          <a:off x="47520" y="47520"/>
          <a:ext cx="1007280" cy="9752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15</xdr:col>
      <xdr:colOff>93240</xdr:colOff>
      <xdr:row>47</xdr:row>
      <xdr:rowOff>165600</xdr:rowOff>
    </xdr:to>
    <xdr:pic>
      <xdr:nvPicPr>
        <xdr:cNvPr id="19" name="Picture 2" descr="dendrograma.png"/>
        <xdr:cNvPicPr/>
      </xdr:nvPicPr>
      <xdr:blipFill>
        <a:blip r:embed="rId2"/>
        <a:stretch/>
      </xdr:blipFill>
      <xdr:spPr>
        <a:xfrm>
          <a:off x="603720" y="3905280"/>
          <a:ext cx="8547840" cy="5499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6</xdr:col>
      <xdr:colOff>0</xdr:colOff>
      <xdr:row>59</xdr:row>
      <xdr:rowOff>0</xdr:rowOff>
    </xdr:from>
    <xdr:to>
      <xdr:col>16</xdr:col>
      <xdr:colOff>168480</xdr:colOff>
      <xdr:row>76</xdr:row>
      <xdr:rowOff>158760</xdr:rowOff>
    </xdr:to>
    <xdr:pic>
      <xdr:nvPicPr>
        <xdr:cNvPr id="20" name="Picture 3" descr="SDR_Saturation_Curve.png"/>
        <xdr:cNvPicPr/>
      </xdr:nvPicPr>
      <xdr:blipFill>
        <a:blip r:embed="rId3"/>
        <a:stretch/>
      </xdr:blipFill>
      <xdr:spPr>
        <a:xfrm>
          <a:off x="3623400" y="11525400"/>
          <a:ext cx="6207120" cy="34941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47520</xdr:colOff>
      <xdr:row>0</xdr:row>
      <xdr:rowOff>47520</xdr:rowOff>
    </xdr:from>
    <xdr:to>
      <xdr:col>1</xdr:col>
      <xdr:colOff>641520</xdr:colOff>
      <xdr:row>4</xdr:row>
      <xdr:rowOff>32040</xdr:rowOff>
    </xdr:to>
    <xdr:pic>
      <xdr:nvPicPr>
        <xdr:cNvPr id="21" name="Picture 1" descr="logo_nexord_base.png"/>
        <xdr:cNvPicPr/>
      </xdr:nvPicPr>
      <xdr:blipFill>
        <a:blip r:embed="rId1"/>
        <a:stretch/>
      </xdr:blipFill>
      <xdr:spPr>
        <a:xfrm>
          <a:off x="47520" y="47520"/>
          <a:ext cx="996480" cy="9752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47520</xdr:colOff>
      <xdr:row>0</xdr:row>
      <xdr:rowOff>47520</xdr:rowOff>
    </xdr:from>
    <xdr:to>
      <xdr:col>1</xdr:col>
      <xdr:colOff>451080</xdr:colOff>
      <xdr:row>4</xdr:row>
      <xdr:rowOff>32040</xdr:rowOff>
    </xdr:to>
    <xdr:pic>
      <xdr:nvPicPr>
        <xdr:cNvPr id="22" name="Picture 1" descr="logo_nexord_base.png"/>
        <xdr:cNvPicPr/>
      </xdr:nvPicPr>
      <xdr:blipFill>
        <a:blip r:embed="rId1"/>
        <a:stretch/>
      </xdr:blipFill>
      <xdr:spPr>
        <a:xfrm>
          <a:off x="47520" y="47520"/>
          <a:ext cx="1007280" cy="9752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47520</xdr:colOff>
      <xdr:row>0</xdr:row>
      <xdr:rowOff>47520</xdr:rowOff>
    </xdr:from>
    <xdr:to>
      <xdr:col>1</xdr:col>
      <xdr:colOff>451080</xdr:colOff>
      <xdr:row>4</xdr:row>
      <xdr:rowOff>32040</xdr:rowOff>
    </xdr:to>
    <xdr:pic>
      <xdr:nvPicPr>
        <xdr:cNvPr id="23" name="Picture 1" descr="logo_nexord_base.png"/>
        <xdr:cNvPicPr/>
      </xdr:nvPicPr>
      <xdr:blipFill>
        <a:blip r:embed="rId1"/>
        <a:stretch/>
      </xdr:blipFill>
      <xdr:spPr>
        <a:xfrm>
          <a:off x="47520" y="47520"/>
          <a:ext cx="1007280" cy="9752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47520</xdr:colOff>
      <xdr:row>0</xdr:row>
      <xdr:rowOff>47520</xdr:rowOff>
    </xdr:from>
    <xdr:to>
      <xdr:col>1</xdr:col>
      <xdr:colOff>451080</xdr:colOff>
      <xdr:row>4</xdr:row>
      <xdr:rowOff>32040</xdr:rowOff>
    </xdr:to>
    <xdr:pic>
      <xdr:nvPicPr>
        <xdr:cNvPr id="24" name="Picture 1" descr="logo_nexord_base.png"/>
        <xdr:cNvPicPr/>
      </xdr:nvPicPr>
      <xdr:blipFill>
        <a:blip r:embed="rId1"/>
        <a:stretch/>
      </xdr:blipFill>
      <xdr:spPr>
        <a:xfrm>
          <a:off x="47520" y="47520"/>
          <a:ext cx="1007280" cy="9752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47520</xdr:colOff>
      <xdr:row>0</xdr:row>
      <xdr:rowOff>47520</xdr:rowOff>
    </xdr:from>
    <xdr:to>
      <xdr:col>1</xdr:col>
      <xdr:colOff>451080</xdr:colOff>
      <xdr:row>4</xdr:row>
      <xdr:rowOff>32040</xdr:rowOff>
    </xdr:to>
    <xdr:pic>
      <xdr:nvPicPr>
        <xdr:cNvPr id="25" name="Picture 1" descr="logo_nexord_base.png"/>
        <xdr:cNvPicPr/>
      </xdr:nvPicPr>
      <xdr:blipFill>
        <a:blip r:embed="rId1"/>
        <a:stretch/>
      </xdr:blipFill>
      <xdr:spPr>
        <a:xfrm>
          <a:off x="47520" y="47520"/>
          <a:ext cx="1007280" cy="9752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47520</xdr:colOff>
      <xdr:row>0</xdr:row>
      <xdr:rowOff>47520</xdr:rowOff>
    </xdr:from>
    <xdr:to>
      <xdr:col>1</xdr:col>
      <xdr:colOff>451080</xdr:colOff>
      <xdr:row>4</xdr:row>
      <xdr:rowOff>32040</xdr:rowOff>
    </xdr:to>
    <xdr:pic>
      <xdr:nvPicPr>
        <xdr:cNvPr id="26" name="Picture 1" descr="logo_nexord_base.png"/>
        <xdr:cNvPicPr/>
      </xdr:nvPicPr>
      <xdr:blipFill>
        <a:blip r:embed="rId1"/>
        <a:stretch/>
      </xdr:blipFill>
      <xdr:spPr>
        <a:xfrm>
          <a:off x="47520" y="47520"/>
          <a:ext cx="1007280" cy="9752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47520</xdr:colOff>
      <xdr:row>0</xdr:row>
      <xdr:rowOff>47520</xdr:rowOff>
    </xdr:from>
    <xdr:to>
      <xdr:col>2</xdr:col>
      <xdr:colOff>260640</xdr:colOff>
      <xdr:row>4</xdr:row>
      <xdr:rowOff>32040</xdr:rowOff>
    </xdr:to>
    <xdr:pic>
      <xdr:nvPicPr>
        <xdr:cNvPr id="27" name="Picture 1" descr="logo_nexord_base.png"/>
        <xdr:cNvPicPr/>
      </xdr:nvPicPr>
      <xdr:blipFill>
        <a:blip r:embed="rId1"/>
        <a:stretch/>
      </xdr:blipFill>
      <xdr:spPr>
        <a:xfrm>
          <a:off x="47520" y="47520"/>
          <a:ext cx="1018440" cy="9752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47520</xdr:colOff>
      <xdr:row>0</xdr:row>
      <xdr:rowOff>47520</xdr:rowOff>
    </xdr:from>
    <xdr:to>
      <xdr:col>1</xdr:col>
      <xdr:colOff>451080</xdr:colOff>
      <xdr:row>4</xdr:row>
      <xdr:rowOff>32040</xdr:rowOff>
    </xdr:to>
    <xdr:pic>
      <xdr:nvPicPr>
        <xdr:cNvPr id="28" name="Picture 1" descr="logo_nexord_base.png"/>
        <xdr:cNvPicPr/>
      </xdr:nvPicPr>
      <xdr:blipFill>
        <a:blip r:embed="rId1"/>
        <a:stretch/>
      </xdr:blipFill>
      <xdr:spPr>
        <a:xfrm>
          <a:off x="47520" y="47520"/>
          <a:ext cx="1007280" cy="9752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47520</xdr:colOff>
      <xdr:row>0</xdr:row>
      <xdr:rowOff>47520</xdr:rowOff>
    </xdr:from>
    <xdr:to>
      <xdr:col>0</xdr:col>
      <xdr:colOff>1022400</xdr:colOff>
      <xdr:row>4</xdr:row>
      <xdr:rowOff>32040</xdr:rowOff>
    </xdr:to>
    <xdr:pic>
      <xdr:nvPicPr>
        <xdr:cNvPr id="29" name="Picture 1" descr="logo_nexord_base.png"/>
        <xdr:cNvPicPr/>
      </xdr:nvPicPr>
      <xdr:blipFill>
        <a:blip r:embed="rId1"/>
        <a:stretch/>
      </xdr:blipFill>
      <xdr:spPr>
        <a:xfrm>
          <a:off x="47520" y="47520"/>
          <a:ext cx="974880" cy="9752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5</xdr:col>
      <xdr:colOff>239760</xdr:colOff>
      <xdr:row>51</xdr:row>
      <xdr:rowOff>46080</xdr:rowOff>
    </xdr:to>
    <xdr:pic>
      <xdr:nvPicPr>
        <xdr:cNvPr id="30" name="Picture 2" descr="grafo_markov_1g1t1c.png"/>
        <xdr:cNvPicPr/>
      </xdr:nvPicPr>
      <xdr:blipFill>
        <a:blip r:embed="rId2"/>
        <a:stretch/>
      </xdr:blipFill>
      <xdr:spPr>
        <a:xfrm>
          <a:off x="0" y="3524400"/>
          <a:ext cx="6411240" cy="65228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47520</xdr:colOff>
      <xdr:row>0</xdr:row>
      <xdr:rowOff>47520</xdr:rowOff>
    </xdr:from>
    <xdr:to>
      <xdr:col>1</xdr:col>
      <xdr:colOff>441360</xdr:colOff>
      <xdr:row>4</xdr:row>
      <xdr:rowOff>32040</xdr:rowOff>
    </xdr:to>
    <xdr:pic>
      <xdr:nvPicPr>
        <xdr:cNvPr id="31" name="Picture 1" descr="logo_nexord_base.png"/>
        <xdr:cNvPicPr/>
      </xdr:nvPicPr>
      <xdr:blipFill>
        <a:blip r:embed="rId1"/>
        <a:stretch/>
      </xdr:blipFill>
      <xdr:spPr>
        <a:xfrm>
          <a:off x="47520" y="47520"/>
          <a:ext cx="1008000" cy="9752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47520</xdr:colOff>
      <xdr:row>0</xdr:row>
      <xdr:rowOff>47520</xdr:rowOff>
    </xdr:from>
    <xdr:to>
      <xdr:col>1</xdr:col>
      <xdr:colOff>451080</xdr:colOff>
      <xdr:row>4</xdr:row>
      <xdr:rowOff>32040</xdr:rowOff>
    </xdr:to>
    <xdr:pic>
      <xdr:nvPicPr>
        <xdr:cNvPr id="32" name="Picture 1" descr="logo_nexord_base.png"/>
        <xdr:cNvPicPr/>
      </xdr:nvPicPr>
      <xdr:blipFill>
        <a:blip r:embed="rId1"/>
        <a:stretch/>
      </xdr:blipFill>
      <xdr:spPr>
        <a:xfrm>
          <a:off x="47520" y="47520"/>
          <a:ext cx="1007280" cy="9752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47520</xdr:colOff>
      <xdr:row>0</xdr:row>
      <xdr:rowOff>47520</xdr:rowOff>
    </xdr:from>
    <xdr:to>
      <xdr:col>0</xdr:col>
      <xdr:colOff>1022400</xdr:colOff>
      <xdr:row>4</xdr:row>
      <xdr:rowOff>32040</xdr:rowOff>
    </xdr:to>
    <xdr:pic>
      <xdr:nvPicPr>
        <xdr:cNvPr id="33" name="Picture 1" descr="logo_nexord_base.png"/>
        <xdr:cNvPicPr/>
      </xdr:nvPicPr>
      <xdr:blipFill>
        <a:blip r:embed="rId1"/>
        <a:stretch/>
      </xdr:blipFill>
      <xdr:spPr>
        <a:xfrm>
          <a:off x="47520" y="47520"/>
          <a:ext cx="974880" cy="9752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47520</xdr:colOff>
      <xdr:row>0</xdr:row>
      <xdr:rowOff>47520</xdr:rowOff>
    </xdr:from>
    <xdr:to>
      <xdr:col>0</xdr:col>
      <xdr:colOff>1022400</xdr:colOff>
      <xdr:row>4</xdr:row>
      <xdr:rowOff>32040</xdr:rowOff>
    </xdr:to>
    <xdr:pic>
      <xdr:nvPicPr>
        <xdr:cNvPr id="34" name="Picture 1" descr="logo_nexord_base.png"/>
        <xdr:cNvPicPr/>
      </xdr:nvPicPr>
      <xdr:blipFill>
        <a:blip r:embed="rId1"/>
        <a:stretch/>
      </xdr:blipFill>
      <xdr:spPr>
        <a:xfrm>
          <a:off x="47520" y="47520"/>
          <a:ext cx="974880" cy="9752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23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2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88"/>
  <sheetViews>
    <sheetView showFormulas="false" showGridLines="true" showRowColHeaders="true" showZeros="true" rightToLeft="false" tabSelected="false" showOutlineSymbols="true" defaultGridColor="true" view="normal" topLeftCell="A1" colorId="64" zoomScale="197" zoomScaleNormal="197" zoomScalePageLayoutView="100" workbookViewId="0">
      <selection pane="topLeft" activeCell="A1" activeCellId="0" sqref="A1"/>
    </sheetView>
  </sheetViews>
  <sheetFormatPr defaultColWidth="8.60546875" defaultRowHeight="15" customHeight="false" zeroHeight="false" outlineLevelRow="0" outlineLevelCol="0"/>
  <cols>
    <col collapsed="false" customWidth="true" hidden="false" outlineLevel="0" max="6" min="1" style="0" width="14.71"/>
  </cols>
  <sheetData>
    <row r="1" customFormat="false" ht="19.5" hidden="false" customHeight="true" outlineLevel="0" collapsed="false">
      <c r="A1" s="1"/>
      <c r="B1" s="1"/>
      <c r="C1" s="2" t="s">
        <v>0</v>
      </c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customFormat="false" ht="19.5" hidden="false" customHeight="true" outlineLevel="0" collapsed="false">
      <c r="A2" s="1"/>
      <c r="B2" s="1"/>
      <c r="C2" s="2"/>
      <c r="D2" s="2"/>
      <c r="E2" s="2"/>
      <c r="F2" s="3"/>
      <c r="G2" s="4" t="s">
        <v>1</v>
      </c>
      <c r="H2" s="5" t="s">
        <v>2</v>
      </c>
      <c r="I2" s="3"/>
      <c r="J2" s="3"/>
      <c r="K2" s="3"/>
      <c r="L2" s="3"/>
      <c r="M2" s="3"/>
      <c r="N2" s="3"/>
      <c r="O2" s="3"/>
      <c r="P2" s="3"/>
      <c r="Q2" s="3"/>
      <c r="R2" s="3"/>
    </row>
    <row r="3" customFormat="false" ht="19.5" hidden="false" customHeight="true" outlineLevel="0" collapsed="false">
      <c r="A3" s="1"/>
      <c r="B3" s="1"/>
      <c r="C3" s="2"/>
      <c r="D3" s="2"/>
      <c r="E3" s="2"/>
      <c r="F3" s="3"/>
      <c r="G3" s="4" t="s">
        <v>3</v>
      </c>
      <c r="H3" s="5" t="s">
        <v>4</v>
      </c>
      <c r="I3" s="3"/>
      <c r="J3" s="3"/>
      <c r="K3" s="4" t="s">
        <v>5</v>
      </c>
      <c r="L3" s="6" t="s">
        <v>6</v>
      </c>
      <c r="M3" s="3"/>
      <c r="N3" s="3"/>
      <c r="O3" s="3"/>
      <c r="P3" s="3"/>
      <c r="Q3" s="3"/>
      <c r="R3" s="3"/>
    </row>
    <row r="4" customFormat="false" ht="19.5" hidden="false" customHeight="true" outlineLevel="0" collapsed="false">
      <c r="A4" s="1"/>
      <c r="B4" s="1"/>
      <c r="C4" s="7" t="s">
        <v>7</v>
      </c>
      <c r="D4" s="7"/>
      <c r="E4" s="7"/>
      <c r="F4" s="3"/>
      <c r="G4" s="4" t="s">
        <v>8</v>
      </c>
      <c r="H4" s="5" t="s">
        <v>9</v>
      </c>
      <c r="I4" s="3"/>
      <c r="J4" s="3"/>
      <c r="K4" s="4" t="s">
        <v>10</v>
      </c>
      <c r="L4" s="6" t="s">
        <v>11</v>
      </c>
      <c r="M4" s="3"/>
      <c r="N4" s="3"/>
      <c r="O4" s="3"/>
      <c r="P4" s="3"/>
      <c r="Q4" s="3"/>
      <c r="R4" s="3"/>
    </row>
    <row r="5" customFormat="false" ht="19.5" hidden="false" customHeight="true" outlineLevel="0" collapsed="false">
      <c r="A5" s="8"/>
      <c r="B5" s="8"/>
      <c r="C5" s="7"/>
      <c r="D5" s="7"/>
      <c r="E5" s="7"/>
      <c r="F5" s="9"/>
      <c r="G5" s="10" t="s">
        <v>12</v>
      </c>
      <c r="H5" s="11" t="s">
        <v>13</v>
      </c>
      <c r="I5" s="9"/>
      <c r="J5" s="9"/>
      <c r="K5" s="10" t="s">
        <v>14</v>
      </c>
      <c r="L5" s="12" t="s">
        <v>15</v>
      </c>
      <c r="M5" s="9"/>
      <c r="N5" s="9"/>
      <c r="O5" s="9"/>
      <c r="P5" s="9"/>
      <c r="Q5" s="9"/>
      <c r="R5" s="9"/>
    </row>
    <row r="7" customFormat="false" ht="17.35" hidden="false" customHeight="false" outlineLevel="0" collapsed="false">
      <c r="A7" s="13" t="s">
        <v>16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</row>
    <row r="9" customFormat="false" ht="15" hidden="false" customHeight="false" outlineLevel="0" collapsed="false">
      <c r="A9" s="14" t="s">
        <v>17</v>
      </c>
      <c r="B9" s="14"/>
      <c r="C9" s="14"/>
      <c r="D9" s="14"/>
      <c r="E9" s="14"/>
      <c r="F9" s="15" t="s">
        <v>18</v>
      </c>
      <c r="G9" s="15"/>
      <c r="H9" s="15"/>
      <c r="I9" s="15"/>
      <c r="J9" s="15"/>
      <c r="K9" s="16" t="s">
        <v>19</v>
      </c>
      <c r="L9" s="16"/>
      <c r="M9" s="16"/>
      <c r="N9" s="16"/>
      <c r="O9" s="17" t="s">
        <v>20</v>
      </c>
      <c r="P9" s="17"/>
      <c r="Q9" s="14" t="s">
        <v>21</v>
      </c>
      <c r="R9" s="14"/>
      <c r="S9" s="14"/>
      <c r="T9" s="14"/>
      <c r="U9" s="14"/>
      <c r="V9" s="14"/>
      <c r="W9" s="14"/>
      <c r="X9" s="14"/>
      <c r="Y9" s="14"/>
      <c r="Z9" s="14"/>
      <c r="AA9" s="14" t="s">
        <v>22</v>
      </c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</row>
    <row r="10" customFormat="false" ht="15" hidden="false" customHeight="false" outlineLevel="0" collapsed="false">
      <c r="A10" s="18" t="s">
        <v>23</v>
      </c>
      <c r="B10" s="18" t="s">
        <v>24</v>
      </c>
      <c r="C10" s="18" t="s">
        <v>25</v>
      </c>
      <c r="D10" s="18" t="s">
        <v>26</v>
      </c>
      <c r="E10" s="18" t="s">
        <v>27</v>
      </c>
      <c r="F10" s="18" t="s">
        <v>28</v>
      </c>
      <c r="G10" s="18" t="s">
        <v>29</v>
      </c>
      <c r="H10" s="18" t="s">
        <v>30</v>
      </c>
      <c r="I10" s="18" t="s">
        <v>31</v>
      </c>
      <c r="J10" s="18" t="s">
        <v>32</v>
      </c>
      <c r="K10" s="18" t="s">
        <v>33</v>
      </c>
      <c r="L10" s="18" t="s">
        <v>34</v>
      </c>
      <c r="M10" s="18" t="s">
        <v>35</v>
      </c>
      <c r="N10" s="18" t="s">
        <v>36</v>
      </c>
      <c r="O10" s="18" t="s">
        <v>37</v>
      </c>
      <c r="P10" s="18" t="s">
        <v>38</v>
      </c>
      <c r="Q10" s="18" t="s">
        <v>39</v>
      </c>
      <c r="R10" s="18" t="s">
        <v>40</v>
      </c>
      <c r="S10" s="18" t="s">
        <v>41</v>
      </c>
      <c r="T10" s="18" t="s">
        <v>42</v>
      </c>
      <c r="U10" s="18" t="s">
        <v>43</v>
      </c>
      <c r="V10" s="18" t="s">
        <v>44</v>
      </c>
      <c r="W10" s="18" t="s">
        <v>45</v>
      </c>
      <c r="X10" s="18" t="s">
        <v>46</v>
      </c>
      <c r="Y10" s="18" t="s">
        <v>47</v>
      </c>
      <c r="Z10" s="18" t="s">
        <v>48</v>
      </c>
      <c r="AA10" s="18" t="s">
        <v>49</v>
      </c>
      <c r="AB10" s="18" t="s">
        <v>50</v>
      </c>
      <c r="AC10" s="18" t="s">
        <v>51</v>
      </c>
      <c r="AD10" s="18" t="s">
        <v>52</v>
      </c>
      <c r="AE10" s="18" t="s">
        <v>53</v>
      </c>
      <c r="AF10" s="18" t="s">
        <v>54</v>
      </c>
      <c r="AG10" s="18" t="s">
        <v>55</v>
      </c>
      <c r="AH10" s="18" t="s">
        <v>56</v>
      </c>
      <c r="AI10" s="18" t="s">
        <v>57</v>
      </c>
      <c r="AJ10" s="18" t="s">
        <v>58</v>
      </c>
      <c r="AK10" s="18" t="s">
        <v>59</v>
      </c>
      <c r="AL10" s="18" t="s">
        <v>60</v>
      </c>
      <c r="AM10" s="18" t="s">
        <v>61</v>
      </c>
      <c r="AN10" s="18" t="s">
        <v>62</v>
      </c>
      <c r="AO10" s="18" t="s">
        <v>63</v>
      </c>
      <c r="AP10" s="18" t="s">
        <v>64</v>
      </c>
    </row>
    <row r="11" customFormat="false" ht="17.35" hidden="false" customHeight="false" outlineLevel="0" collapsed="false">
      <c r="A11" s="19" t="s">
        <v>65</v>
      </c>
      <c r="B11" s="20" t="n">
        <v>1</v>
      </c>
      <c r="C11" s="21" t="s">
        <v>66</v>
      </c>
      <c r="D11" s="21" t="s">
        <v>67</v>
      </c>
      <c r="E11" s="20" t="n">
        <v>1</v>
      </c>
      <c r="F11" s="20" t="n">
        <v>1</v>
      </c>
      <c r="G11" s="20" t="n">
        <v>2</v>
      </c>
      <c r="H11" s="20" t="n">
        <v>3</v>
      </c>
      <c r="I11" s="20" t="n">
        <v>4</v>
      </c>
      <c r="J11" s="20" t="n">
        <v>5</v>
      </c>
      <c r="K11" s="21" t="s">
        <v>68</v>
      </c>
      <c r="L11" s="21" t="s">
        <v>69</v>
      </c>
      <c r="M11" s="21" t="s">
        <v>65</v>
      </c>
      <c r="N11" s="21" t="s">
        <v>70</v>
      </c>
      <c r="O11" s="21" t="s">
        <v>65</v>
      </c>
      <c r="P11" s="21" t="s">
        <v>70</v>
      </c>
      <c r="Q11" s="20" t="n">
        <v>1</v>
      </c>
      <c r="R11" s="20" t="n">
        <v>2</v>
      </c>
      <c r="S11" s="20" t="n">
        <v>1</v>
      </c>
      <c r="T11" s="20" t="n">
        <v>2</v>
      </c>
      <c r="U11" s="20" t="n">
        <v>1</v>
      </c>
      <c r="V11" s="20" t="n">
        <v>2</v>
      </c>
      <c r="W11" s="20" t="n">
        <v>1</v>
      </c>
      <c r="X11" s="20" t="n">
        <v>2</v>
      </c>
      <c r="Y11" s="20" t="n">
        <v>3</v>
      </c>
      <c r="Z11" s="20" t="n">
        <v>3</v>
      </c>
      <c r="AA11" s="20" t="n">
        <v>3</v>
      </c>
      <c r="AB11" s="20" t="n">
        <v>3</v>
      </c>
      <c r="AC11" s="20" t="n">
        <v>3</v>
      </c>
      <c r="AD11" s="20" t="n">
        <v>4</v>
      </c>
      <c r="AE11" s="20" t="n">
        <v>3</v>
      </c>
      <c r="AF11" s="20" t="n">
        <v>3</v>
      </c>
      <c r="AG11" s="20" t="n">
        <v>4</v>
      </c>
      <c r="AH11" s="20" t="n">
        <v>3</v>
      </c>
      <c r="AI11" s="20" t="n">
        <v>3</v>
      </c>
      <c r="AJ11" s="20" t="n">
        <v>3</v>
      </c>
      <c r="AK11" s="20" t="n">
        <v>3</v>
      </c>
      <c r="AL11" s="20" t="n">
        <v>3</v>
      </c>
      <c r="AM11" s="20" t="n">
        <v>3</v>
      </c>
      <c r="AN11" s="20" t="n">
        <v>2</v>
      </c>
      <c r="AO11" s="20" t="n">
        <v>2</v>
      </c>
      <c r="AP11" s="20" t="n">
        <v>3</v>
      </c>
    </row>
    <row r="12" customFormat="false" ht="17.35" hidden="false" customHeight="false" outlineLevel="0" collapsed="false">
      <c r="A12" s="19" t="s">
        <v>71</v>
      </c>
      <c r="B12" s="20" t="n">
        <v>2</v>
      </c>
      <c r="C12" s="21" t="s">
        <v>66</v>
      </c>
      <c r="D12" s="21" t="s">
        <v>67</v>
      </c>
      <c r="E12" s="20" t="n">
        <v>1</v>
      </c>
      <c r="F12" s="20" t="n">
        <v>3</v>
      </c>
      <c r="G12" s="20" t="n">
        <v>1</v>
      </c>
      <c r="H12" s="20" t="n">
        <v>2</v>
      </c>
      <c r="I12" s="20" t="n">
        <v>5</v>
      </c>
      <c r="J12" s="20" t="n">
        <v>4</v>
      </c>
      <c r="K12" s="21" t="s">
        <v>72</v>
      </c>
      <c r="L12" s="21" t="s">
        <v>73</v>
      </c>
      <c r="M12" s="21" t="s">
        <v>74</v>
      </c>
      <c r="N12" s="21" t="s">
        <v>75</v>
      </c>
      <c r="O12" s="21" t="s">
        <v>74</v>
      </c>
      <c r="P12" s="21" t="s">
        <v>75</v>
      </c>
      <c r="Q12" s="20" t="n">
        <v>2</v>
      </c>
      <c r="R12" s="20" t="n">
        <v>2</v>
      </c>
      <c r="S12" s="20" t="n">
        <v>1</v>
      </c>
      <c r="T12" s="20" t="n">
        <v>2</v>
      </c>
      <c r="U12" s="20" t="n">
        <v>1</v>
      </c>
      <c r="V12" s="20" t="n">
        <v>2</v>
      </c>
      <c r="W12" s="20" t="n">
        <v>1</v>
      </c>
      <c r="X12" s="20" t="n">
        <v>1</v>
      </c>
      <c r="Y12" s="20" t="n">
        <v>2</v>
      </c>
      <c r="Z12" s="20" t="n">
        <v>2</v>
      </c>
      <c r="AA12" s="20" t="n">
        <v>3</v>
      </c>
      <c r="AB12" s="20" t="n">
        <v>3</v>
      </c>
      <c r="AC12" s="20" t="n">
        <v>3</v>
      </c>
      <c r="AD12" s="20" t="n">
        <v>2</v>
      </c>
      <c r="AE12" s="20" t="n">
        <v>4</v>
      </c>
      <c r="AF12" s="20" t="n">
        <v>3</v>
      </c>
      <c r="AG12" s="20" t="n">
        <v>3</v>
      </c>
      <c r="AH12" s="20" t="n">
        <v>2</v>
      </c>
      <c r="AI12" s="20" t="n">
        <v>3</v>
      </c>
      <c r="AJ12" s="20" t="n">
        <v>3</v>
      </c>
      <c r="AK12" s="20" t="n">
        <v>3</v>
      </c>
      <c r="AL12" s="20" t="n">
        <v>3</v>
      </c>
      <c r="AM12" s="20" t="n">
        <v>3</v>
      </c>
      <c r="AN12" s="20" t="n">
        <v>3</v>
      </c>
      <c r="AO12" s="20" t="n">
        <v>3</v>
      </c>
      <c r="AP12" s="20" t="n">
        <v>4</v>
      </c>
    </row>
    <row r="13" customFormat="false" ht="17.35" hidden="false" customHeight="false" outlineLevel="0" collapsed="false">
      <c r="A13" s="19" t="s">
        <v>74</v>
      </c>
      <c r="B13" s="20" t="n">
        <v>3</v>
      </c>
      <c r="C13" s="21" t="s">
        <v>66</v>
      </c>
      <c r="D13" s="21" t="s">
        <v>67</v>
      </c>
      <c r="E13" s="20" t="n">
        <v>1</v>
      </c>
      <c r="F13" s="20" t="n">
        <v>2</v>
      </c>
      <c r="G13" s="20" t="n">
        <v>3</v>
      </c>
      <c r="H13" s="20" t="n">
        <v>1</v>
      </c>
      <c r="I13" s="20" t="n">
        <v>5</v>
      </c>
      <c r="J13" s="20" t="n">
        <v>4</v>
      </c>
      <c r="K13" s="21" t="s">
        <v>76</v>
      </c>
      <c r="L13" s="21" t="s">
        <v>73</v>
      </c>
      <c r="M13" s="21" t="s">
        <v>71</v>
      </c>
      <c r="N13" s="21" t="s">
        <v>75</v>
      </c>
      <c r="O13" s="21" t="s">
        <v>71</v>
      </c>
      <c r="P13" s="21" t="s">
        <v>75</v>
      </c>
      <c r="Q13" s="20" t="n">
        <v>1</v>
      </c>
      <c r="R13" s="20" t="n">
        <v>2</v>
      </c>
      <c r="S13" s="20" t="n">
        <v>1</v>
      </c>
      <c r="T13" s="20" t="n">
        <v>2</v>
      </c>
      <c r="U13" s="20" t="n">
        <v>1</v>
      </c>
      <c r="V13" s="20" t="n">
        <v>2</v>
      </c>
      <c r="W13" s="20" t="n">
        <v>1</v>
      </c>
      <c r="X13" s="20" t="n">
        <v>1</v>
      </c>
      <c r="Y13" s="20" t="n">
        <v>2</v>
      </c>
      <c r="Z13" s="20" t="n">
        <v>2</v>
      </c>
      <c r="AA13" s="20" t="n">
        <v>3</v>
      </c>
      <c r="AB13" s="20" t="n">
        <v>3</v>
      </c>
      <c r="AC13" s="20" t="n">
        <v>3</v>
      </c>
      <c r="AD13" s="20" t="n">
        <v>3</v>
      </c>
      <c r="AE13" s="20" t="n">
        <v>3</v>
      </c>
      <c r="AF13" s="20" t="n">
        <v>2</v>
      </c>
      <c r="AG13" s="20" t="n">
        <v>2</v>
      </c>
      <c r="AH13" s="20" t="n">
        <v>3</v>
      </c>
      <c r="AI13" s="20" t="n">
        <v>3</v>
      </c>
      <c r="AJ13" s="20" t="n">
        <v>3</v>
      </c>
      <c r="AK13" s="20" t="n">
        <v>3</v>
      </c>
      <c r="AL13" s="20" t="n">
        <v>3</v>
      </c>
      <c r="AM13" s="20" t="n">
        <v>2</v>
      </c>
      <c r="AN13" s="20" t="n">
        <v>3</v>
      </c>
      <c r="AO13" s="20" t="n">
        <v>3</v>
      </c>
      <c r="AP13" s="20" t="n">
        <v>3</v>
      </c>
    </row>
    <row r="14" customFormat="false" ht="17.35" hidden="false" customHeight="false" outlineLevel="0" collapsed="false">
      <c r="A14" s="19" t="s">
        <v>75</v>
      </c>
      <c r="B14" s="20" t="n">
        <v>4</v>
      </c>
      <c r="C14" s="21" t="s">
        <v>66</v>
      </c>
      <c r="D14" s="21" t="s">
        <v>67</v>
      </c>
      <c r="E14" s="20" t="n">
        <v>2</v>
      </c>
      <c r="F14" s="20" t="n">
        <v>4</v>
      </c>
      <c r="G14" s="20" t="n">
        <v>5</v>
      </c>
      <c r="H14" s="20" t="n">
        <v>1</v>
      </c>
      <c r="I14" s="20" t="n">
        <v>2</v>
      </c>
      <c r="J14" s="20" t="n">
        <v>3</v>
      </c>
      <c r="K14" s="21" t="s">
        <v>73</v>
      </c>
      <c r="L14" s="21" t="s">
        <v>77</v>
      </c>
      <c r="M14" s="21" t="s">
        <v>75</v>
      </c>
      <c r="N14" s="21" t="s">
        <v>74</v>
      </c>
      <c r="O14" s="21" t="s">
        <v>75</v>
      </c>
      <c r="P14" s="21" t="s">
        <v>74</v>
      </c>
      <c r="Q14" s="20" t="n">
        <v>2</v>
      </c>
      <c r="R14" s="20" t="n">
        <v>2</v>
      </c>
      <c r="S14" s="20" t="n">
        <v>1</v>
      </c>
      <c r="T14" s="20" t="n">
        <v>2</v>
      </c>
      <c r="U14" s="20" t="n">
        <v>1</v>
      </c>
      <c r="V14" s="20" t="n">
        <v>2</v>
      </c>
      <c r="W14" s="20" t="n">
        <v>1</v>
      </c>
      <c r="X14" s="20" t="n">
        <v>1</v>
      </c>
      <c r="Y14" s="20" t="n">
        <v>2</v>
      </c>
      <c r="Z14" s="20" t="n">
        <v>2</v>
      </c>
      <c r="AA14" s="20" t="n">
        <v>7</v>
      </c>
      <c r="AB14" s="20" t="n">
        <v>6</v>
      </c>
      <c r="AC14" s="20" t="n">
        <v>7</v>
      </c>
      <c r="AD14" s="20" t="n">
        <v>7</v>
      </c>
      <c r="AE14" s="20" t="n">
        <v>7</v>
      </c>
      <c r="AF14" s="20" t="n">
        <v>7</v>
      </c>
      <c r="AG14" s="20" t="n">
        <v>7</v>
      </c>
      <c r="AH14" s="20" t="n">
        <v>7</v>
      </c>
      <c r="AI14" s="20" t="n">
        <v>6</v>
      </c>
      <c r="AJ14" s="20" t="n">
        <v>7</v>
      </c>
      <c r="AK14" s="20" t="n">
        <v>7</v>
      </c>
      <c r="AL14" s="20" t="n">
        <v>7</v>
      </c>
      <c r="AM14" s="20" t="n">
        <v>7</v>
      </c>
      <c r="AN14" s="20" t="n">
        <v>7</v>
      </c>
      <c r="AO14" s="20" t="n">
        <v>6</v>
      </c>
      <c r="AP14" s="20" t="n">
        <v>6</v>
      </c>
    </row>
    <row r="15" customFormat="false" ht="17.35" hidden="false" customHeight="false" outlineLevel="0" collapsed="false">
      <c r="A15" s="19" t="s">
        <v>70</v>
      </c>
      <c r="B15" s="20" t="n">
        <v>5</v>
      </c>
      <c r="C15" s="21" t="s">
        <v>66</v>
      </c>
      <c r="D15" s="21" t="s">
        <v>67</v>
      </c>
      <c r="E15" s="20" t="n">
        <v>2</v>
      </c>
      <c r="F15" s="20" t="n">
        <v>5</v>
      </c>
      <c r="G15" s="20" t="n">
        <v>4</v>
      </c>
      <c r="H15" s="20" t="n">
        <v>2</v>
      </c>
      <c r="I15" s="20" t="n">
        <v>3</v>
      </c>
      <c r="J15" s="20" t="n">
        <v>1</v>
      </c>
      <c r="K15" s="21" t="s">
        <v>69</v>
      </c>
      <c r="L15" s="21" t="s">
        <v>78</v>
      </c>
      <c r="M15" s="21" t="s">
        <v>70</v>
      </c>
      <c r="N15" s="21" t="s">
        <v>65</v>
      </c>
      <c r="O15" s="21" t="s">
        <v>70</v>
      </c>
      <c r="P15" s="21" t="s">
        <v>65</v>
      </c>
      <c r="Q15" s="20" t="n">
        <v>1</v>
      </c>
      <c r="R15" s="20" t="n">
        <v>2</v>
      </c>
      <c r="S15" s="20" t="n">
        <v>1</v>
      </c>
      <c r="T15" s="20" t="n">
        <v>2</v>
      </c>
      <c r="U15" s="20" t="n">
        <v>1</v>
      </c>
      <c r="V15" s="20" t="n">
        <v>2</v>
      </c>
      <c r="W15" s="20" t="n">
        <v>1</v>
      </c>
      <c r="X15" s="20" t="n">
        <v>1</v>
      </c>
      <c r="Y15" s="20" t="n">
        <v>2</v>
      </c>
      <c r="Z15" s="20" t="n">
        <v>2</v>
      </c>
      <c r="AA15" s="20" t="n">
        <v>3</v>
      </c>
      <c r="AB15" s="20" t="n">
        <v>4</v>
      </c>
      <c r="AC15" s="20" t="n">
        <v>3</v>
      </c>
      <c r="AD15" s="20" t="n">
        <v>3</v>
      </c>
      <c r="AE15" s="20" t="n">
        <v>3</v>
      </c>
      <c r="AF15" s="20" t="n">
        <v>3</v>
      </c>
      <c r="AG15" s="20" t="n">
        <v>3</v>
      </c>
      <c r="AH15" s="20" t="n">
        <v>4</v>
      </c>
      <c r="AI15" s="20" t="n">
        <v>3</v>
      </c>
      <c r="AJ15" s="20" t="n">
        <v>4</v>
      </c>
      <c r="AK15" s="20" t="n">
        <v>2</v>
      </c>
      <c r="AL15" s="20" t="n">
        <v>3</v>
      </c>
      <c r="AM15" s="20" t="n">
        <v>3</v>
      </c>
      <c r="AN15" s="20" t="n">
        <v>3</v>
      </c>
      <c r="AO15" s="20" t="n">
        <v>3</v>
      </c>
      <c r="AP15" s="20" t="n">
        <v>2</v>
      </c>
    </row>
    <row r="18" customFormat="false" ht="17.35" hidden="false" customHeight="false" outlineLevel="0" collapsed="false">
      <c r="A18" s="13" t="s">
        <v>79</v>
      </c>
      <c r="B18" s="13"/>
      <c r="C18" s="13"/>
      <c r="D18" s="13"/>
      <c r="E18" s="13"/>
      <c r="F18" s="13"/>
    </row>
    <row r="20" customFormat="false" ht="17.35" hidden="false" customHeight="false" outlineLevel="0" collapsed="false">
      <c r="A20" s="19" t="s">
        <v>80</v>
      </c>
      <c r="B20" s="19" t="s">
        <v>65</v>
      </c>
      <c r="C20" s="19" t="s">
        <v>71</v>
      </c>
      <c r="D20" s="19" t="s">
        <v>74</v>
      </c>
      <c r="E20" s="19" t="s">
        <v>75</v>
      </c>
      <c r="F20" s="19" t="s">
        <v>70</v>
      </c>
    </row>
    <row r="21" customFormat="false" ht="17.35" hidden="false" customHeight="false" outlineLevel="0" collapsed="false">
      <c r="A21" s="19" t="s">
        <v>65</v>
      </c>
      <c r="B21" s="20" t="s">
        <v>81</v>
      </c>
      <c r="C21" s="20" t="s">
        <v>82</v>
      </c>
      <c r="D21" s="20" t="s">
        <v>83</v>
      </c>
      <c r="E21" s="20" t="s">
        <v>84</v>
      </c>
      <c r="F21" s="20" t="s">
        <v>85</v>
      </c>
    </row>
    <row r="22" customFormat="false" ht="17.35" hidden="false" customHeight="false" outlineLevel="0" collapsed="false">
      <c r="A22" s="19" t="s">
        <v>71</v>
      </c>
      <c r="B22" s="20" t="s">
        <v>82</v>
      </c>
      <c r="C22" s="20" t="s">
        <v>83</v>
      </c>
      <c r="D22" s="20" t="s">
        <v>81</v>
      </c>
      <c r="E22" s="20" t="s">
        <v>86</v>
      </c>
      <c r="F22" s="20" t="s">
        <v>84</v>
      </c>
    </row>
    <row r="23" customFormat="false" ht="17.35" hidden="false" customHeight="false" outlineLevel="0" collapsed="false">
      <c r="A23" s="19" t="s">
        <v>74</v>
      </c>
      <c r="B23" s="20" t="s">
        <v>83</v>
      </c>
      <c r="C23" s="20" t="s">
        <v>81</v>
      </c>
      <c r="D23" s="20" t="s">
        <v>82</v>
      </c>
      <c r="E23" s="20" t="s">
        <v>85</v>
      </c>
      <c r="F23" s="20" t="s">
        <v>87</v>
      </c>
    </row>
    <row r="24" customFormat="false" ht="17.35" hidden="false" customHeight="false" outlineLevel="0" collapsed="false">
      <c r="A24" s="19" t="s">
        <v>75</v>
      </c>
      <c r="B24" s="20" t="s">
        <v>88</v>
      </c>
      <c r="C24" s="20" t="s">
        <v>89</v>
      </c>
      <c r="D24" s="20" t="s">
        <v>90</v>
      </c>
      <c r="E24" s="20" t="s">
        <v>81</v>
      </c>
      <c r="F24" s="20" t="s">
        <v>82</v>
      </c>
    </row>
    <row r="25" customFormat="false" ht="17.35" hidden="false" customHeight="false" outlineLevel="0" collapsed="false">
      <c r="A25" s="19" t="s">
        <v>70</v>
      </c>
      <c r="B25" s="20" t="s">
        <v>85</v>
      </c>
      <c r="C25" s="20" t="s">
        <v>91</v>
      </c>
      <c r="D25" s="20" t="s">
        <v>92</v>
      </c>
      <c r="E25" s="20" t="s">
        <v>82</v>
      </c>
      <c r="F25" s="20" t="s">
        <v>81</v>
      </c>
    </row>
    <row r="28" customFormat="false" ht="17.35" hidden="false" customHeight="false" outlineLevel="0" collapsed="false">
      <c r="A28" s="13" t="s">
        <v>93</v>
      </c>
      <c r="B28" s="13"/>
      <c r="C28" s="13"/>
      <c r="D28" s="13"/>
      <c r="E28" s="13"/>
      <c r="F28" s="13"/>
      <c r="H28" s="13" t="s">
        <v>94</v>
      </c>
      <c r="I28" s="13"/>
      <c r="J28" s="13"/>
      <c r="K28" s="13"/>
      <c r="L28" s="13"/>
      <c r="M28" s="13"/>
    </row>
    <row r="30" customFormat="false" ht="17.35" hidden="false" customHeight="false" outlineLevel="0" collapsed="false">
      <c r="A30" s="19" t="s">
        <v>95</v>
      </c>
      <c r="B30" s="19" t="s">
        <v>65</v>
      </c>
      <c r="C30" s="19" t="s">
        <v>71</v>
      </c>
      <c r="D30" s="19" t="s">
        <v>74</v>
      </c>
      <c r="E30" s="19" t="s">
        <v>75</v>
      </c>
      <c r="F30" s="19" t="s">
        <v>70</v>
      </c>
      <c r="H30" s="19" t="s">
        <v>33</v>
      </c>
      <c r="I30" s="19" t="s">
        <v>96</v>
      </c>
      <c r="J30" s="19" t="s">
        <v>34</v>
      </c>
      <c r="K30" s="19" t="s">
        <v>97</v>
      </c>
      <c r="L30" s="19" t="s">
        <v>98</v>
      </c>
      <c r="M30" s="19" t="s">
        <v>99</v>
      </c>
    </row>
    <row r="31" customFormat="false" ht="15" hidden="false" customHeight="false" outlineLevel="0" collapsed="false">
      <c r="A31" s="18" t="s">
        <v>65</v>
      </c>
      <c r="B31" s="22" t="s">
        <v>100</v>
      </c>
      <c r="C31" s="23" t="s">
        <v>101</v>
      </c>
      <c r="D31" s="24" t="s">
        <v>102</v>
      </c>
      <c r="E31" s="25" t="s">
        <v>103</v>
      </c>
      <c r="F31" s="26" t="s">
        <v>104</v>
      </c>
      <c r="H31" s="20" t="n">
        <v>2</v>
      </c>
      <c r="I31" s="20" t="n">
        <v>1</v>
      </c>
      <c r="J31" s="20" t="n">
        <v>2</v>
      </c>
      <c r="K31" s="20" t="n">
        <v>1</v>
      </c>
      <c r="L31" s="20" t="n">
        <v>3</v>
      </c>
      <c r="M31" s="20" t="n">
        <v>1</v>
      </c>
    </row>
    <row r="32" customFormat="false" ht="15" hidden="false" customHeight="false" outlineLevel="0" collapsed="false">
      <c r="A32" s="18" t="s">
        <v>71</v>
      </c>
      <c r="B32" s="23" t="s">
        <v>101</v>
      </c>
      <c r="C32" s="22" t="s">
        <v>100</v>
      </c>
      <c r="D32" s="22" t="s">
        <v>100</v>
      </c>
      <c r="E32" s="25" t="s">
        <v>105</v>
      </c>
      <c r="F32" s="25" t="s">
        <v>103</v>
      </c>
      <c r="H32" s="20" t="n">
        <v>3</v>
      </c>
      <c r="I32" s="20" t="n">
        <v>0</v>
      </c>
      <c r="J32" s="20" t="n">
        <v>2</v>
      </c>
      <c r="K32" s="20" t="n">
        <v>2</v>
      </c>
      <c r="L32" s="20" t="n">
        <v>2</v>
      </c>
      <c r="M32" s="20" t="n">
        <v>1</v>
      </c>
    </row>
    <row r="33" customFormat="false" ht="15" hidden="false" customHeight="false" outlineLevel="0" collapsed="false">
      <c r="A33" s="18" t="s">
        <v>74</v>
      </c>
      <c r="B33" s="24" t="s">
        <v>102</v>
      </c>
      <c r="C33" s="22" t="s">
        <v>100</v>
      </c>
      <c r="D33" s="23" t="s">
        <v>101</v>
      </c>
      <c r="E33" s="26" t="s">
        <v>104</v>
      </c>
      <c r="F33" s="25" t="s">
        <v>106</v>
      </c>
      <c r="H33" s="20" t="n">
        <v>2</v>
      </c>
      <c r="I33" s="20" t="n">
        <v>1</v>
      </c>
      <c r="J33" s="20" t="n">
        <v>2</v>
      </c>
      <c r="K33" s="20" t="n">
        <v>1</v>
      </c>
      <c r="L33" s="20" t="n">
        <v>3</v>
      </c>
      <c r="M33" s="20" t="n">
        <v>1</v>
      </c>
    </row>
    <row r="34" customFormat="false" ht="15" hidden="false" customHeight="false" outlineLevel="0" collapsed="false">
      <c r="A34" s="18" t="s">
        <v>75</v>
      </c>
      <c r="B34" s="25" t="s">
        <v>107</v>
      </c>
      <c r="C34" s="25" t="s">
        <v>108</v>
      </c>
      <c r="D34" s="26" t="s">
        <v>104</v>
      </c>
      <c r="E34" s="22" t="s">
        <v>100</v>
      </c>
      <c r="F34" s="23" t="s">
        <v>101</v>
      </c>
      <c r="H34" s="20" t="n">
        <v>2</v>
      </c>
      <c r="I34" s="20" t="n">
        <v>1</v>
      </c>
      <c r="J34" s="20" t="n">
        <v>2</v>
      </c>
      <c r="K34" s="20" t="n">
        <v>1</v>
      </c>
      <c r="L34" s="20" t="n">
        <v>3</v>
      </c>
      <c r="M34" s="20" t="n">
        <v>1</v>
      </c>
    </row>
    <row r="35" customFormat="false" ht="15" hidden="false" customHeight="false" outlineLevel="0" collapsed="false">
      <c r="A35" s="18" t="s">
        <v>70</v>
      </c>
      <c r="B35" s="26" t="s">
        <v>104</v>
      </c>
      <c r="C35" s="25" t="s">
        <v>107</v>
      </c>
      <c r="D35" s="25" t="s">
        <v>106</v>
      </c>
      <c r="E35" s="23" t="s">
        <v>101</v>
      </c>
      <c r="F35" s="22" t="s">
        <v>100</v>
      </c>
      <c r="H35" s="20" t="n">
        <v>2</v>
      </c>
      <c r="I35" s="20" t="n">
        <v>1</v>
      </c>
      <c r="J35" s="20" t="n">
        <v>2</v>
      </c>
      <c r="K35" s="20" t="n">
        <v>1</v>
      </c>
      <c r="L35" s="20" t="n">
        <v>3</v>
      </c>
      <c r="M35" s="20" t="n">
        <v>1</v>
      </c>
    </row>
    <row r="36" customFormat="false" ht="17.35" hidden="false" customHeight="false" outlineLevel="0" collapsed="false">
      <c r="G36" s="19" t="s">
        <v>109</v>
      </c>
      <c r="H36" s="27" t="n">
        <v>11</v>
      </c>
      <c r="I36" s="27" t="n">
        <v>4</v>
      </c>
      <c r="J36" s="27" t="n">
        <v>10</v>
      </c>
      <c r="K36" s="27" t="n">
        <v>6</v>
      </c>
      <c r="L36" s="27" t="n">
        <v>14</v>
      </c>
      <c r="M36" s="27" t="n">
        <v>5</v>
      </c>
    </row>
    <row r="38" customFormat="false" ht="17.35" hidden="false" customHeight="false" outlineLevel="0" collapsed="false">
      <c r="A38" s="20" t="s">
        <v>110</v>
      </c>
      <c r="B38" s="19" t="s">
        <v>65</v>
      </c>
      <c r="C38" s="19" t="s">
        <v>71</v>
      </c>
      <c r="D38" s="19" t="s">
        <v>74</v>
      </c>
      <c r="E38" s="19" t="s">
        <v>75</v>
      </c>
      <c r="F38" s="19" t="s">
        <v>70</v>
      </c>
      <c r="G38" s="19" t="s">
        <v>109</v>
      </c>
      <c r="I38" s="13" t="s">
        <v>111</v>
      </c>
      <c r="J38" s="13"/>
      <c r="K38" s="13"/>
      <c r="L38" s="13"/>
      <c r="M38" s="13"/>
    </row>
    <row r="39" customFormat="false" ht="17.35" hidden="false" customHeight="false" outlineLevel="0" collapsed="false">
      <c r="A39" s="19" t="s">
        <v>112</v>
      </c>
      <c r="B39" s="20" t="n">
        <v>2</v>
      </c>
      <c r="C39" s="20" t="n">
        <v>3</v>
      </c>
      <c r="D39" s="20" t="n">
        <v>2</v>
      </c>
      <c r="E39" s="20" t="n">
        <v>2</v>
      </c>
      <c r="F39" s="20" t="n">
        <v>2</v>
      </c>
      <c r="G39" s="20" t="n">
        <v>11</v>
      </c>
      <c r="J39" s="28" t="s">
        <v>113</v>
      </c>
      <c r="K39" s="28"/>
      <c r="L39" s="29" t="s">
        <v>114</v>
      </c>
      <c r="M39" s="29"/>
    </row>
    <row r="40" customFormat="false" ht="17.35" hidden="false" customHeight="false" outlineLevel="0" collapsed="false">
      <c r="A40" s="19" t="s">
        <v>115</v>
      </c>
      <c r="B40" s="20" t="n">
        <v>1</v>
      </c>
      <c r="C40" s="20" t="n">
        <v>0</v>
      </c>
      <c r="D40" s="20" t="n">
        <v>1</v>
      </c>
      <c r="E40" s="20" t="n">
        <v>1</v>
      </c>
      <c r="F40" s="20" t="n">
        <v>1</v>
      </c>
      <c r="G40" s="20" t="n">
        <v>4</v>
      </c>
      <c r="I40" s="30" t="s">
        <v>116</v>
      </c>
      <c r="J40" s="31" t="s">
        <v>117</v>
      </c>
      <c r="K40" s="31" t="s">
        <v>118</v>
      </c>
      <c r="L40" s="31" t="s">
        <v>118</v>
      </c>
      <c r="M40" s="31" t="s">
        <v>117</v>
      </c>
    </row>
    <row r="41" customFormat="false" ht="17.35" hidden="false" customHeight="false" outlineLevel="0" collapsed="false">
      <c r="A41" s="19" t="s">
        <v>119</v>
      </c>
      <c r="B41" s="20" t="n">
        <v>2</v>
      </c>
      <c r="C41" s="20" t="n">
        <v>2</v>
      </c>
      <c r="D41" s="20" t="n">
        <v>2</v>
      </c>
      <c r="E41" s="20" t="n">
        <v>2</v>
      </c>
      <c r="F41" s="20" t="n">
        <v>2</v>
      </c>
      <c r="G41" s="20" t="n">
        <v>10</v>
      </c>
      <c r="I41" s="30" t="s">
        <v>120</v>
      </c>
      <c r="J41" s="32" t="s">
        <v>97</v>
      </c>
      <c r="K41" s="32" t="s">
        <v>33</v>
      </c>
      <c r="L41" s="32" t="s">
        <v>112</v>
      </c>
      <c r="M41" s="32" t="s">
        <v>121</v>
      </c>
    </row>
    <row r="42" customFormat="false" ht="17.35" hidden="false" customHeight="false" outlineLevel="0" collapsed="false">
      <c r="A42" s="19" t="s">
        <v>121</v>
      </c>
      <c r="B42" s="20" t="n">
        <v>1</v>
      </c>
      <c r="C42" s="20" t="n">
        <v>2</v>
      </c>
      <c r="D42" s="20" t="n">
        <v>1</v>
      </c>
      <c r="E42" s="20" t="n">
        <v>1</v>
      </c>
      <c r="F42" s="20" t="n">
        <v>1</v>
      </c>
      <c r="G42" s="20" t="n">
        <v>6</v>
      </c>
      <c r="I42" s="31" t="s">
        <v>122</v>
      </c>
      <c r="J42" s="31" t="s">
        <v>98</v>
      </c>
      <c r="K42" s="31" t="s">
        <v>96</v>
      </c>
      <c r="L42" s="31" t="s">
        <v>115</v>
      </c>
      <c r="M42" s="31" t="s">
        <v>123</v>
      </c>
    </row>
    <row r="43" customFormat="false" ht="17.35" hidden="false" customHeight="false" outlineLevel="0" collapsed="false">
      <c r="A43" s="19" t="s">
        <v>123</v>
      </c>
      <c r="B43" s="20" t="n">
        <v>3</v>
      </c>
      <c r="C43" s="20" t="n">
        <v>2</v>
      </c>
      <c r="D43" s="20" t="n">
        <v>3</v>
      </c>
      <c r="E43" s="20" t="n">
        <v>3</v>
      </c>
      <c r="F43" s="20" t="n">
        <v>3</v>
      </c>
      <c r="G43" s="20" t="n">
        <v>14</v>
      </c>
      <c r="I43" s="33" t="s">
        <v>124</v>
      </c>
      <c r="J43" s="33" t="s">
        <v>99</v>
      </c>
      <c r="K43" s="33" t="s">
        <v>34</v>
      </c>
      <c r="L43" s="33" t="s">
        <v>119</v>
      </c>
      <c r="M43" s="33" t="s">
        <v>125</v>
      </c>
    </row>
    <row r="44" customFormat="false" ht="17.35" hidden="false" customHeight="false" outlineLevel="0" collapsed="false">
      <c r="A44" s="19" t="s">
        <v>125</v>
      </c>
      <c r="B44" s="20" t="n">
        <v>1</v>
      </c>
      <c r="C44" s="20" t="n">
        <v>1</v>
      </c>
      <c r="D44" s="20" t="n">
        <v>1</v>
      </c>
      <c r="E44" s="20" t="n">
        <v>1</v>
      </c>
      <c r="F44" s="20" t="n">
        <v>1</v>
      </c>
      <c r="G44" s="20" t="n">
        <v>5</v>
      </c>
    </row>
    <row r="46" customFormat="false" ht="17.35" hidden="false" customHeight="false" outlineLevel="0" collapsed="false">
      <c r="I46" s="13" t="s">
        <v>126</v>
      </c>
      <c r="J46" s="13"/>
      <c r="K46" s="13"/>
      <c r="L46" s="13"/>
      <c r="M46" s="13"/>
    </row>
    <row r="47" customFormat="false" ht="17.35" hidden="false" customHeight="false" outlineLevel="0" collapsed="false">
      <c r="A47" s="13" t="s">
        <v>127</v>
      </c>
      <c r="B47" s="13"/>
      <c r="C47" s="13"/>
      <c r="D47" s="13"/>
      <c r="E47" s="13"/>
      <c r="F47" s="13"/>
    </row>
    <row r="48" customFormat="false" ht="15" hidden="false" customHeight="false" outlineLevel="0" collapsed="false">
      <c r="I48" s="34"/>
      <c r="J48" s="32" t="s">
        <v>128</v>
      </c>
      <c r="K48" s="32" t="s">
        <v>129</v>
      </c>
      <c r="L48" s="32"/>
      <c r="M48" s="32"/>
    </row>
    <row r="49" customFormat="false" ht="17.35" hidden="false" customHeight="false" outlineLevel="0" collapsed="false">
      <c r="A49" s="20" t="s">
        <v>130</v>
      </c>
      <c r="B49" s="19" t="s">
        <v>65</v>
      </c>
      <c r="C49" s="19" t="s">
        <v>71</v>
      </c>
      <c r="D49" s="19" t="s">
        <v>74</v>
      </c>
      <c r="E49" s="19" t="s">
        <v>75</v>
      </c>
      <c r="F49" s="19" t="s">
        <v>70</v>
      </c>
      <c r="G49" s="20" t="s">
        <v>109</v>
      </c>
      <c r="I49" s="35" t="s">
        <v>131</v>
      </c>
      <c r="J49" s="36" t="n">
        <f aca="false">IFERROR((K$36+H$36)/(K$36+L$36+M$36+H$36+I$36+J$36)*100, 0)</f>
        <v>34</v>
      </c>
      <c r="K49" s="31" t="s">
        <v>132</v>
      </c>
      <c r="L49" s="31"/>
      <c r="M49" s="31"/>
    </row>
    <row r="50" customFormat="false" ht="17.35" hidden="false" customHeight="false" outlineLevel="0" collapsed="false">
      <c r="A50" s="19" t="s">
        <v>133</v>
      </c>
      <c r="B50" s="20" t="n">
        <v>2</v>
      </c>
      <c r="C50" s="20" t="n">
        <v>3</v>
      </c>
      <c r="D50" s="20" t="n">
        <v>2</v>
      </c>
      <c r="E50" s="20" t="n">
        <v>2</v>
      </c>
      <c r="F50" s="20" t="n">
        <v>2</v>
      </c>
      <c r="G50" s="37" t="n">
        <v>11</v>
      </c>
      <c r="I50" s="35" t="s">
        <v>134</v>
      </c>
      <c r="J50" s="36" t="n">
        <f aca="false">IFERROR((L$36+I$36)/(K$36+L$36+M$36+H$36+I$36+J$36)*100, 0)</f>
        <v>36</v>
      </c>
      <c r="K50" s="31" t="s">
        <v>135</v>
      </c>
      <c r="L50" s="31"/>
      <c r="M50" s="31"/>
    </row>
    <row r="51" customFormat="false" ht="17.35" hidden="false" customHeight="false" outlineLevel="0" collapsed="false">
      <c r="A51" s="19" t="s">
        <v>136</v>
      </c>
      <c r="B51" s="20" t="n">
        <v>1</v>
      </c>
      <c r="C51" s="20"/>
      <c r="D51" s="20" t="n">
        <v>1</v>
      </c>
      <c r="E51" s="20"/>
      <c r="F51" s="20"/>
      <c r="G51" s="37" t="n">
        <v>2</v>
      </c>
      <c r="I51" s="35" t="s">
        <v>137</v>
      </c>
      <c r="J51" s="36" t="n">
        <f aca="false">IFERROR((M$36+J$36)/(K$36+L$36+M$36+H$36+I$36+J$36)*100, 0)</f>
        <v>30</v>
      </c>
      <c r="K51" s="31" t="s">
        <v>138</v>
      </c>
      <c r="L51" s="31"/>
      <c r="M51" s="31"/>
    </row>
    <row r="52" customFormat="false" ht="17.35" hidden="false" customHeight="false" outlineLevel="0" collapsed="false">
      <c r="A52" s="19" t="s">
        <v>139</v>
      </c>
      <c r="B52" s="20" t="n">
        <v>1</v>
      </c>
      <c r="C52" s="20" t="n">
        <v>1</v>
      </c>
      <c r="D52" s="20" t="n">
        <v>2</v>
      </c>
      <c r="E52" s="20" t="n">
        <v>2</v>
      </c>
      <c r="F52" s="20" t="n">
        <v>2</v>
      </c>
      <c r="G52" s="37" t="n">
        <v>8</v>
      </c>
      <c r="I52" s="34"/>
      <c r="J52" s="36" t="n">
        <f aca="false">SUM(J49:J51)</f>
        <v>100</v>
      </c>
      <c r="K52" s="34"/>
      <c r="L52" s="34"/>
      <c r="M52" s="34"/>
    </row>
    <row r="53" customFormat="false" ht="17.35" hidden="false" customHeight="false" outlineLevel="0" collapsed="false">
      <c r="A53" s="19" t="s">
        <v>140</v>
      </c>
      <c r="B53" s="20"/>
      <c r="C53" s="20"/>
      <c r="D53" s="20"/>
      <c r="E53" s="20"/>
      <c r="F53" s="20"/>
      <c r="G53" s="37" t="n">
        <v>0</v>
      </c>
      <c r="I53" s="35" t="s">
        <v>141</v>
      </c>
      <c r="J53" s="36" t="n">
        <f aca="false">IFERROR((K$36+H$36)/((K$36+L$36+M$36+H$36+I$36+J$36)-L$36-I$36)*100, 0)</f>
        <v>53.125</v>
      </c>
      <c r="K53" s="31" t="s">
        <v>142</v>
      </c>
      <c r="L53" s="31"/>
      <c r="M53" s="31"/>
    </row>
    <row r="54" customFormat="false" ht="17.35" hidden="false" customHeight="false" outlineLevel="0" collapsed="false">
      <c r="A54" s="19" t="s">
        <v>143</v>
      </c>
      <c r="B54" s="20"/>
      <c r="C54" s="20"/>
      <c r="D54" s="20"/>
      <c r="E54" s="20"/>
      <c r="F54" s="20"/>
      <c r="G54" s="37" t="n">
        <v>0</v>
      </c>
      <c r="I54" s="35" t="s">
        <v>144</v>
      </c>
      <c r="J54" s="36" t="n">
        <f aca="false">IFERROR((M$36+J$36)/((K$36+L$36+M$36+H$36+I$36+J$36)-L$36-I$36)*100, 0)</f>
        <v>46.875</v>
      </c>
      <c r="K54" s="31" t="s">
        <v>145</v>
      </c>
      <c r="L54" s="31"/>
      <c r="M54" s="31"/>
    </row>
    <row r="55" customFormat="false" ht="17.35" hidden="false" customHeight="false" outlineLevel="0" collapsed="false">
      <c r="A55" s="19" t="s">
        <v>146</v>
      </c>
      <c r="B55" s="20"/>
      <c r="C55" s="20"/>
      <c r="D55" s="20"/>
      <c r="E55" s="20"/>
      <c r="F55" s="20"/>
      <c r="G55" s="37" t="n">
        <v>0</v>
      </c>
      <c r="I55" s="34"/>
      <c r="J55" s="34"/>
      <c r="K55" s="34"/>
      <c r="L55" s="34"/>
      <c r="M55" s="34"/>
    </row>
    <row r="56" customFormat="false" ht="15" hidden="false" customHeight="false" outlineLevel="0" collapsed="false">
      <c r="I56" s="35" t="s">
        <v>147</v>
      </c>
      <c r="J56" s="36" t="n">
        <f aca="false">IFERROR((6+11)/(K$36+L$36+M$36+H$36+I$36+J$36)*100, 0)</f>
        <v>34</v>
      </c>
      <c r="K56" s="31" t="s">
        <v>148</v>
      </c>
      <c r="L56" s="31"/>
      <c r="M56" s="31"/>
    </row>
    <row r="57" customFormat="false" ht="15" hidden="false" customHeight="false" outlineLevel="0" collapsed="false">
      <c r="I57" s="35" t="s">
        <v>149</v>
      </c>
      <c r="J57" s="36" t="n">
        <f aca="false">IFERROR((0+2)/(K$36+L$36+M$36+H$36+I$36+J$36)*100, 0)</f>
        <v>4</v>
      </c>
      <c r="K57" s="31" t="s">
        <v>150</v>
      </c>
      <c r="L57" s="31"/>
      <c r="M57" s="31"/>
    </row>
    <row r="58" customFormat="false" ht="17.35" hidden="false" customHeight="false" outlineLevel="0" collapsed="false">
      <c r="A58" s="20" t="s">
        <v>151</v>
      </c>
      <c r="B58" s="19" t="s">
        <v>65</v>
      </c>
      <c r="C58" s="19" t="s">
        <v>71</v>
      </c>
      <c r="D58" s="19" t="s">
        <v>74</v>
      </c>
      <c r="E58" s="19" t="s">
        <v>75</v>
      </c>
      <c r="F58" s="19" t="s">
        <v>70</v>
      </c>
      <c r="G58" s="20" t="s">
        <v>109</v>
      </c>
      <c r="I58" s="35" t="s">
        <v>152</v>
      </c>
      <c r="J58" s="36" t="n">
        <f aca="false">IFERROR((4+8)/(K$36+L$36+M$36+H$36+I$36+J$36)*100, 0)</f>
        <v>24</v>
      </c>
      <c r="K58" s="31" t="s">
        <v>153</v>
      </c>
      <c r="L58" s="31"/>
      <c r="M58" s="31"/>
    </row>
    <row r="59" customFormat="false" ht="15" hidden="false" customHeight="false" outlineLevel="0" collapsed="false">
      <c r="A59" s="35" t="s">
        <v>154</v>
      </c>
      <c r="B59" s="20"/>
      <c r="C59" s="20"/>
      <c r="D59" s="20"/>
      <c r="E59" s="20"/>
      <c r="F59" s="20"/>
      <c r="G59" s="37" t="n">
        <v>0</v>
      </c>
      <c r="I59" s="35" t="s">
        <v>155</v>
      </c>
      <c r="J59" s="36" t="n">
        <f aca="false">IFERROR((0+0)/(K$36+L$36+M$36+H$36+I$36+J$36)*100, 0)</f>
        <v>0</v>
      </c>
      <c r="K59" s="31" t="s">
        <v>156</v>
      </c>
      <c r="L59" s="31"/>
      <c r="M59" s="31"/>
    </row>
    <row r="60" customFormat="false" ht="15" hidden="false" customHeight="false" outlineLevel="0" collapsed="false">
      <c r="A60" s="35" t="s">
        <v>157</v>
      </c>
      <c r="B60" s="20"/>
      <c r="C60" s="20"/>
      <c r="D60" s="20"/>
      <c r="E60" s="20"/>
      <c r="F60" s="20"/>
      <c r="G60" s="37" t="n">
        <v>0</v>
      </c>
      <c r="I60" s="34"/>
      <c r="J60" s="34"/>
      <c r="K60" s="34"/>
      <c r="L60" s="34"/>
      <c r="M60" s="34"/>
    </row>
    <row r="61" customFormat="false" ht="15" hidden="false" customHeight="false" outlineLevel="0" collapsed="false">
      <c r="A61" s="35" t="s">
        <v>158</v>
      </c>
      <c r="B61" s="20"/>
      <c r="C61" s="20"/>
      <c r="D61" s="20"/>
      <c r="E61" s="20"/>
      <c r="F61" s="20"/>
      <c r="G61" s="37" t="n">
        <v>0</v>
      </c>
      <c r="I61" s="35" t="s">
        <v>159</v>
      </c>
      <c r="J61" s="36" t="n">
        <f aca="false">IFERROR((0)/(K$36+L$36+M$36+H$36+I$36+J$36)*100, 0)</f>
        <v>0</v>
      </c>
      <c r="K61" s="31" t="s">
        <v>160</v>
      </c>
      <c r="L61" s="31"/>
      <c r="M61" s="31"/>
    </row>
    <row r="62" customFormat="false" ht="15" hidden="false" customHeight="false" outlineLevel="0" collapsed="false">
      <c r="A62" s="35" t="s">
        <v>161</v>
      </c>
      <c r="B62" s="20"/>
      <c r="C62" s="20"/>
      <c r="D62" s="20"/>
      <c r="E62" s="20"/>
      <c r="F62" s="20"/>
      <c r="G62" s="37" t="n">
        <v>0</v>
      </c>
      <c r="I62" s="35" t="s">
        <v>162</v>
      </c>
      <c r="J62" s="36" t="n">
        <f aca="false">IFERROR((0)/(K$36+L$36+M$36+H$36+I$36+J$36)*100, 0)</f>
        <v>0</v>
      </c>
      <c r="K62" s="31" t="s">
        <v>163</v>
      </c>
      <c r="L62" s="31"/>
      <c r="M62" s="31"/>
    </row>
    <row r="63" customFormat="false" ht="15" hidden="false" customHeight="false" outlineLevel="0" collapsed="false">
      <c r="I63" s="35" t="s">
        <v>164</v>
      </c>
      <c r="J63" s="36" t="n">
        <f aca="false">IFERROR((0)/(K$36+L$36+M$36+H$36+I$36+J$36)*100, 0)</f>
        <v>0</v>
      </c>
      <c r="K63" s="31" t="s">
        <v>165</v>
      </c>
      <c r="L63" s="31"/>
      <c r="M63" s="31"/>
    </row>
    <row r="65" customFormat="false" ht="17.35" hidden="false" customHeight="false" outlineLevel="0" collapsed="false">
      <c r="A65" s="13" t="s">
        <v>166</v>
      </c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</row>
    <row r="66" customFormat="false" ht="17.35" hidden="false" customHeight="false" outlineLevel="0" collapsed="false">
      <c r="A66" s="19" t="s">
        <v>167</v>
      </c>
      <c r="B66" s="18" t="s">
        <v>168</v>
      </c>
      <c r="C66" s="18"/>
      <c r="D66" s="18" t="s">
        <v>169</v>
      </c>
      <c r="E66" s="18"/>
      <c r="F66" s="18" t="s">
        <v>170</v>
      </c>
      <c r="G66" s="18"/>
      <c r="H66" s="18" t="s">
        <v>171</v>
      </c>
      <c r="I66" s="18"/>
      <c r="J66" s="18" t="s">
        <v>172</v>
      </c>
      <c r="K66" s="18"/>
      <c r="L66" s="18" t="s">
        <v>173</v>
      </c>
      <c r="M66" s="18"/>
      <c r="N66" s="18" t="s">
        <v>174</v>
      </c>
      <c r="O66" s="18"/>
      <c r="P66" s="18" t="s">
        <v>175</v>
      </c>
      <c r="Q66" s="18"/>
      <c r="R66" s="18" t="s">
        <v>176</v>
      </c>
      <c r="S66" s="18"/>
    </row>
    <row r="67" customFormat="false" ht="17.35" hidden="false" customHeight="false" outlineLevel="0" collapsed="false">
      <c r="A67" s="19" t="s">
        <v>177</v>
      </c>
      <c r="B67" s="38" t="n">
        <v>81</v>
      </c>
      <c r="C67" s="39" t="s">
        <v>100</v>
      </c>
      <c r="D67" s="40" t="n">
        <v>80</v>
      </c>
      <c r="E67" s="40" t="s">
        <v>178</v>
      </c>
      <c r="F67" s="38" t="n">
        <v>78</v>
      </c>
      <c r="G67" s="38" t="s">
        <v>179</v>
      </c>
      <c r="H67" s="40" t="n">
        <v>75</v>
      </c>
      <c r="I67" s="40" t="s">
        <v>180</v>
      </c>
      <c r="J67" s="38" t="n">
        <v>71</v>
      </c>
      <c r="K67" s="38" t="s">
        <v>181</v>
      </c>
      <c r="L67" s="40" t="n">
        <v>66</v>
      </c>
      <c r="M67" s="40" t="s">
        <v>182</v>
      </c>
      <c r="N67" s="38" t="n">
        <v>60</v>
      </c>
      <c r="O67" s="38" t="s">
        <v>183</v>
      </c>
      <c r="P67" s="40" t="n">
        <v>53</v>
      </c>
      <c r="Q67" s="40" t="s">
        <v>184</v>
      </c>
      <c r="R67" s="38" t="n">
        <v>45</v>
      </c>
      <c r="S67" s="38" t="s">
        <v>185</v>
      </c>
    </row>
    <row r="68" customFormat="false" ht="17.35" hidden="false" customHeight="false" outlineLevel="0" collapsed="false">
      <c r="A68" s="19" t="s">
        <v>186</v>
      </c>
      <c r="B68" s="40" t="n">
        <v>79</v>
      </c>
      <c r="C68" s="40" t="s">
        <v>187</v>
      </c>
      <c r="D68" s="38" t="n">
        <v>77</v>
      </c>
      <c r="E68" s="39" t="s">
        <v>101</v>
      </c>
      <c r="F68" s="40" t="n">
        <v>74</v>
      </c>
      <c r="G68" s="40" t="s">
        <v>188</v>
      </c>
      <c r="H68" s="38" t="n">
        <v>70</v>
      </c>
      <c r="I68" s="38" t="s">
        <v>189</v>
      </c>
      <c r="J68" s="40" t="n">
        <v>65</v>
      </c>
      <c r="K68" s="40" t="s">
        <v>190</v>
      </c>
      <c r="L68" s="38" t="n">
        <v>59</v>
      </c>
      <c r="M68" s="38" t="s">
        <v>191</v>
      </c>
      <c r="N68" s="40" t="n">
        <v>52</v>
      </c>
      <c r="O68" s="40" t="s">
        <v>192</v>
      </c>
      <c r="P68" s="38" t="n">
        <v>44</v>
      </c>
      <c r="Q68" s="38" t="s">
        <v>193</v>
      </c>
      <c r="R68" s="40" t="n">
        <v>36</v>
      </c>
      <c r="S68" s="40" t="s">
        <v>194</v>
      </c>
    </row>
    <row r="69" customFormat="false" ht="17.35" hidden="false" customHeight="false" outlineLevel="0" collapsed="false">
      <c r="A69" s="19" t="s">
        <v>195</v>
      </c>
      <c r="B69" s="38" t="n">
        <v>76</v>
      </c>
      <c r="C69" s="38" t="s">
        <v>196</v>
      </c>
      <c r="D69" s="40" t="n">
        <v>73</v>
      </c>
      <c r="E69" s="40" t="s">
        <v>197</v>
      </c>
      <c r="F69" s="38" t="n">
        <v>69</v>
      </c>
      <c r="G69" s="39" t="s">
        <v>198</v>
      </c>
      <c r="H69" s="40" t="n">
        <v>64</v>
      </c>
      <c r="I69" s="40" t="s">
        <v>199</v>
      </c>
      <c r="J69" s="38" t="n">
        <v>58</v>
      </c>
      <c r="K69" s="38" t="s">
        <v>200</v>
      </c>
      <c r="L69" s="40" t="n">
        <v>51</v>
      </c>
      <c r="M69" s="40" t="s">
        <v>201</v>
      </c>
      <c r="N69" s="38" t="n">
        <v>43</v>
      </c>
      <c r="O69" s="38" t="s">
        <v>202</v>
      </c>
      <c r="P69" s="40" t="n">
        <v>35</v>
      </c>
      <c r="Q69" s="40" t="s">
        <v>203</v>
      </c>
      <c r="R69" s="38" t="n">
        <v>28</v>
      </c>
      <c r="S69" s="38" t="s">
        <v>204</v>
      </c>
    </row>
    <row r="70" customFormat="false" ht="17.35" hidden="false" customHeight="false" outlineLevel="0" collapsed="false">
      <c r="A70" s="19" t="s">
        <v>205</v>
      </c>
      <c r="B70" s="40" t="n">
        <v>72</v>
      </c>
      <c r="C70" s="40" t="s">
        <v>206</v>
      </c>
      <c r="D70" s="38" t="n">
        <v>68</v>
      </c>
      <c r="E70" s="38" t="s">
        <v>207</v>
      </c>
      <c r="F70" s="40" t="n">
        <v>63</v>
      </c>
      <c r="G70" s="40" t="s">
        <v>208</v>
      </c>
      <c r="H70" s="38" t="n">
        <v>57</v>
      </c>
      <c r="I70" s="39" t="s">
        <v>209</v>
      </c>
      <c r="J70" s="40" t="n">
        <v>50</v>
      </c>
      <c r="K70" s="40" t="s">
        <v>210</v>
      </c>
      <c r="L70" s="38" t="n">
        <v>42</v>
      </c>
      <c r="M70" s="38" t="s">
        <v>211</v>
      </c>
      <c r="N70" s="40" t="n">
        <v>34</v>
      </c>
      <c r="O70" s="40" t="s">
        <v>212</v>
      </c>
      <c r="P70" s="38" t="n">
        <v>27</v>
      </c>
      <c r="Q70" s="38" t="s">
        <v>213</v>
      </c>
      <c r="R70" s="40" t="n">
        <v>21</v>
      </c>
      <c r="S70" s="40" t="s">
        <v>214</v>
      </c>
    </row>
    <row r="71" customFormat="false" ht="17.35" hidden="false" customHeight="false" outlineLevel="0" collapsed="false">
      <c r="A71" s="19" t="s">
        <v>215</v>
      </c>
      <c r="B71" s="38" t="n">
        <v>67</v>
      </c>
      <c r="C71" s="38" t="s">
        <v>216</v>
      </c>
      <c r="D71" s="40" t="n">
        <v>62</v>
      </c>
      <c r="E71" s="40" t="s">
        <v>217</v>
      </c>
      <c r="F71" s="38" t="n">
        <v>56</v>
      </c>
      <c r="G71" s="38" t="s">
        <v>218</v>
      </c>
      <c r="H71" s="40" t="n">
        <v>49</v>
      </c>
      <c r="I71" s="40" t="s">
        <v>219</v>
      </c>
      <c r="J71" s="38" t="n">
        <v>41</v>
      </c>
      <c r="K71" s="39" t="s">
        <v>102</v>
      </c>
      <c r="L71" s="40" t="n">
        <v>33</v>
      </c>
      <c r="M71" s="40" t="s">
        <v>220</v>
      </c>
      <c r="N71" s="38" t="n">
        <v>26</v>
      </c>
      <c r="O71" s="38" t="s">
        <v>221</v>
      </c>
      <c r="P71" s="40" t="n">
        <v>20</v>
      </c>
      <c r="Q71" s="40" t="s">
        <v>107</v>
      </c>
      <c r="R71" s="38" t="n">
        <v>15</v>
      </c>
      <c r="S71" s="38" t="s">
        <v>222</v>
      </c>
    </row>
    <row r="72" customFormat="false" ht="17.35" hidden="false" customHeight="false" outlineLevel="0" collapsed="false">
      <c r="A72" s="19" t="s">
        <v>223</v>
      </c>
      <c r="B72" s="40" t="n">
        <v>61</v>
      </c>
      <c r="C72" s="40" t="s">
        <v>224</v>
      </c>
      <c r="D72" s="38" t="n">
        <v>55</v>
      </c>
      <c r="E72" s="38" t="s">
        <v>225</v>
      </c>
      <c r="F72" s="40" t="n">
        <v>48</v>
      </c>
      <c r="G72" s="40" t="s">
        <v>226</v>
      </c>
      <c r="H72" s="38" t="n">
        <v>40</v>
      </c>
      <c r="I72" s="38" t="s">
        <v>227</v>
      </c>
      <c r="J72" s="40" t="n">
        <v>32</v>
      </c>
      <c r="K72" s="40" t="s">
        <v>228</v>
      </c>
      <c r="L72" s="38" t="n">
        <v>25</v>
      </c>
      <c r="M72" s="39" t="s">
        <v>229</v>
      </c>
      <c r="N72" s="40" t="n">
        <v>19</v>
      </c>
      <c r="O72" s="40" t="s">
        <v>230</v>
      </c>
      <c r="P72" s="38" t="n">
        <v>14</v>
      </c>
      <c r="Q72" s="38" t="s">
        <v>231</v>
      </c>
      <c r="R72" s="40" t="n">
        <v>10</v>
      </c>
      <c r="S72" s="40" t="s">
        <v>232</v>
      </c>
    </row>
    <row r="73" customFormat="false" ht="17.35" hidden="false" customHeight="false" outlineLevel="0" collapsed="false">
      <c r="A73" s="19" t="s">
        <v>233</v>
      </c>
      <c r="B73" s="38" t="n">
        <v>54</v>
      </c>
      <c r="C73" s="38" t="s">
        <v>234</v>
      </c>
      <c r="D73" s="40" t="n">
        <v>47</v>
      </c>
      <c r="E73" s="40" t="s">
        <v>235</v>
      </c>
      <c r="F73" s="38" t="n">
        <v>39</v>
      </c>
      <c r="G73" s="38" t="s">
        <v>236</v>
      </c>
      <c r="H73" s="40" t="n">
        <v>31</v>
      </c>
      <c r="I73" s="40" t="s">
        <v>237</v>
      </c>
      <c r="J73" s="38" t="n">
        <v>24</v>
      </c>
      <c r="K73" s="38" t="s">
        <v>238</v>
      </c>
      <c r="L73" s="40" t="n">
        <v>18</v>
      </c>
      <c r="M73" s="40" t="s">
        <v>239</v>
      </c>
      <c r="N73" s="38" t="n">
        <v>13</v>
      </c>
      <c r="O73" s="39" t="s">
        <v>240</v>
      </c>
      <c r="P73" s="40" t="n">
        <v>9</v>
      </c>
      <c r="Q73" s="40" t="s">
        <v>241</v>
      </c>
      <c r="R73" s="38" t="n">
        <v>6</v>
      </c>
      <c r="S73" s="38" t="s">
        <v>242</v>
      </c>
    </row>
    <row r="74" customFormat="false" ht="17.35" hidden="false" customHeight="false" outlineLevel="0" collapsed="false">
      <c r="A74" s="19" t="s">
        <v>243</v>
      </c>
      <c r="B74" s="40" t="n">
        <v>46</v>
      </c>
      <c r="C74" s="40" t="s">
        <v>244</v>
      </c>
      <c r="D74" s="38" t="n">
        <v>38</v>
      </c>
      <c r="E74" s="38" t="s">
        <v>245</v>
      </c>
      <c r="F74" s="40" t="n">
        <v>30</v>
      </c>
      <c r="G74" s="40" t="s">
        <v>246</v>
      </c>
      <c r="H74" s="38" t="n">
        <v>23</v>
      </c>
      <c r="I74" s="38" t="s">
        <v>247</v>
      </c>
      <c r="J74" s="40" t="n">
        <v>17</v>
      </c>
      <c r="K74" s="40" t="s">
        <v>103</v>
      </c>
      <c r="L74" s="38" t="n">
        <v>12</v>
      </c>
      <c r="M74" s="38" t="s">
        <v>248</v>
      </c>
      <c r="N74" s="40" t="n">
        <v>8</v>
      </c>
      <c r="O74" s="40" t="s">
        <v>249</v>
      </c>
      <c r="P74" s="38" t="n">
        <v>5</v>
      </c>
      <c r="Q74" s="39" t="s">
        <v>106</v>
      </c>
      <c r="R74" s="40" t="n">
        <v>3</v>
      </c>
      <c r="S74" s="40" t="s">
        <v>108</v>
      </c>
    </row>
    <row r="75" customFormat="false" ht="17.35" hidden="false" customHeight="false" outlineLevel="0" collapsed="false">
      <c r="A75" s="19" t="s">
        <v>250</v>
      </c>
      <c r="B75" s="38" t="n">
        <v>37</v>
      </c>
      <c r="C75" s="38" t="s">
        <v>251</v>
      </c>
      <c r="D75" s="40" t="n">
        <v>29</v>
      </c>
      <c r="E75" s="40" t="s">
        <v>252</v>
      </c>
      <c r="F75" s="38" t="n">
        <v>22</v>
      </c>
      <c r="G75" s="38" t="s">
        <v>253</v>
      </c>
      <c r="H75" s="40" t="n">
        <v>16</v>
      </c>
      <c r="I75" s="40" t="s">
        <v>254</v>
      </c>
      <c r="J75" s="38" t="n">
        <v>11</v>
      </c>
      <c r="K75" s="38" t="s">
        <v>255</v>
      </c>
      <c r="L75" s="40" t="n">
        <v>7</v>
      </c>
      <c r="M75" s="40" t="s">
        <v>256</v>
      </c>
      <c r="N75" s="38" t="n">
        <v>4</v>
      </c>
      <c r="O75" s="38" t="s">
        <v>257</v>
      </c>
      <c r="P75" s="40" t="n">
        <v>2</v>
      </c>
      <c r="Q75" s="40" t="s">
        <v>105</v>
      </c>
      <c r="R75" s="38" t="n">
        <v>1</v>
      </c>
      <c r="S75" s="39" t="s">
        <v>104</v>
      </c>
    </row>
    <row r="78" customFormat="false" ht="17.35" hidden="false" customHeight="false" outlineLevel="0" collapsed="false">
      <c r="A78" s="13" t="s">
        <v>258</v>
      </c>
      <c r="B78" s="13"/>
      <c r="C78" s="13"/>
      <c r="D78" s="13"/>
      <c r="E78" s="13"/>
      <c r="F78" s="13"/>
    </row>
    <row r="79" customFormat="false" ht="17.35" hidden="false" customHeight="false" outlineLevel="0" collapsed="false">
      <c r="B79" s="19" t="s">
        <v>65</v>
      </c>
      <c r="C79" s="19" t="s">
        <v>71</v>
      </c>
      <c r="D79" s="19" t="s">
        <v>74</v>
      </c>
      <c r="E79" s="19" t="s">
        <v>75</v>
      </c>
      <c r="F79" s="19" t="s">
        <v>70</v>
      </c>
      <c r="G79" s="41" t="s">
        <v>259</v>
      </c>
      <c r="H79" s="41" t="s">
        <v>260</v>
      </c>
      <c r="I79" s="41" t="s">
        <v>261</v>
      </c>
      <c r="J79" s="41" t="s">
        <v>262</v>
      </c>
    </row>
    <row r="80" customFormat="false" ht="17.35" hidden="false" customHeight="false" outlineLevel="0" collapsed="false">
      <c r="A80" s="19" t="s">
        <v>65</v>
      </c>
      <c r="B80" s="42" t="n">
        <v>1</v>
      </c>
      <c r="C80" s="43" t="n">
        <v>0.574349177498518</v>
      </c>
      <c r="D80" s="43" t="n">
        <v>0.415243646538506</v>
      </c>
      <c r="E80" s="43" t="n">
        <v>0.329876977693224</v>
      </c>
      <c r="F80" s="43" t="n">
        <v>0.275945932292243</v>
      </c>
      <c r="G80" s="44" t="n">
        <f aca="false">SUM(B80:F80)</f>
        <v>2.59541573402249</v>
      </c>
      <c r="H80" s="44" t="n">
        <f aca="false">AVERAGE(B80:F80)</f>
        <v>0.519083146804498</v>
      </c>
      <c r="I80" s="44" t="n">
        <f aca="false">stdev.s(B80:F80)</f>
        <v>0.291561603765898</v>
      </c>
      <c r="J80" s="45" t="n">
        <f aca="false">IF(G85=0,0,G80/G85)</f>
        <v>0.2</v>
      </c>
    </row>
    <row r="81" customFormat="false" ht="17.35" hidden="false" customHeight="false" outlineLevel="0" collapsed="false">
      <c r="A81" s="19" t="s">
        <v>71</v>
      </c>
      <c r="B81" s="43" t="n">
        <v>0.415243646538506</v>
      </c>
      <c r="C81" s="42" t="n">
        <v>1</v>
      </c>
      <c r="D81" s="43" t="n">
        <v>0.574349177498518</v>
      </c>
      <c r="E81" s="43" t="n">
        <v>0.275945932292243</v>
      </c>
      <c r="F81" s="43" t="n">
        <v>0.329876977693224</v>
      </c>
      <c r="G81" s="44" t="n">
        <f aca="false">SUM(B81:F81)</f>
        <v>2.59541573402249</v>
      </c>
      <c r="H81" s="44" t="n">
        <f aca="false">AVERAGE(B81:F81)</f>
        <v>0.519083146804498</v>
      </c>
      <c r="I81" s="44" t="n">
        <f aca="false">stdev.s(B81:F81)</f>
        <v>0.291561603765898</v>
      </c>
      <c r="J81" s="45" t="n">
        <f aca="false">IF(G85=0,0,G81/G85)</f>
        <v>0.2</v>
      </c>
    </row>
    <row r="82" customFormat="false" ht="17.35" hidden="false" customHeight="false" outlineLevel="0" collapsed="false">
      <c r="A82" s="19" t="s">
        <v>74</v>
      </c>
      <c r="B82" s="43" t="n">
        <v>0.574349177498518</v>
      </c>
      <c r="C82" s="43" t="n">
        <v>0.415243646538506</v>
      </c>
      <c r="D82" s="42" t="n">
        <v>1</v>
      </c>
      <c r="E82" s="43" t="n">
        <v>0.275945932292243</v>
      </c>
      <c r="F82" s="43" t="n">
        <v>0.329876977693224</v>
      </c>
      <c r="G82" s="44" t="n">
        <f aca="false">SUM(B82:F82)</f>
        <v>2.59541573402249</v>
      </c>
      <c r="H82" s="44" t="n">
        <f aca="false">AVERAGE(B82:F82)</f>
        <v>0.519083146804498</v>
      </c>
      <c r="I82" s="44" t="n">
        <f aca="false">stdev.s(B82:F82)</f>
        <v>0.291561603765898</v>
      </c>
      <c r="J82" s="45" t="n">
        <f aca="false">IF(G85=0,0,G82/G85)</f>
        <v>0.2</v>
      </c>
    </row>
    <row r="83" customFormat="false" ht="17.35" hidden="false" customHeight="false" outlineLevel="0" collapsed="false">
      <c r="A83" s="19" t="s">
        <v>75</v>
      </c>
      <c r="B83" s="43" t="n">
        <v>0.329876977693224</v>
      </c>
      <c r="C83" s="43" t="n">
        <v>0.275945932292243</v>
      </c>
      <c r="D83" s="43" t="n">
        <v>1</v>
      </c>
      <c r="E83" s="42" t="n">
        <v>0.574349177498518</v>
      </c>
      <c r="F83" s="43" t="n">
        <v>0.415243646538506</v>
      </c>
      <c r="G83" s="44" t="n">
        <f aca="false">SUM(B83:F83)</f>
        <v>2.59541573402249</v>
      </c>
      <c r="H83" s="44" t="n">
        <f aca="false">AVERAGE(B83:F83)</f>
        <v>0.519083146804498</v>
      </c>
      <c r="I83" s="44" t="n">
        <f aca="false">stdev.s(B83:F83)</f>
        <v>0.291561603765898</v>
      </c>
      <c r="J83" s="45" t="n">
        <f aca="false">IF(G85=0,0,G83/G85)</f>
        <v>0.2</v>
      </c>
    </row>
    <row r="84" customFormat="false" ht="17.35" hidden="false" customHeight="false" outlineLevel="0" collapsed="false">
      <c r="A84" s="19" t="s">
        <v>70</v>
      </c>
      <c r="B84" s="43" t="n">
        <v>0.275945932292243</v>
      </c>
      <c r="C84" s="43" t="n">
        <v>0.329876977693224</v>
      </c>
      <c r="D84" s="43" t="n">
        <v>0.574349177498518</v>
      </c>
      <c r="E84" s="43" t="n">
        <v>0.415243646538506</v>
      </c>
      <c r="F84" s="42" t="n">
        <v>1</v>
      </c>
      <c r="G84" s="44" t="n">
        <f aca="false">SUM(B84:F84)</f>
        <v>2.59541573402249</v>
      </c>
      <c r="H84" s="44" t="n">
        <f aca="false">AVERAGE(B84:F84)</f>
        <v>0.519083146804498</v>
      </c>
      <c r="I84" s="44" t="n">
        <f aca="false">stdev.s(B84:F84)</f>
        <v>0.291561603765898</v>
      </c>
      <c r="J84" s="45" t="n">
        <f aca="false">IF(G85=0,0,G84/G85)</f>
        <v>0.2</v>
      </c>
    </row>
    <row r="85" customFormat="false" ht="15" hidden="false" customHeight="false" outlineLevel="0" collapsed="false">
      <c r="A85" s="46" t="s">
        <v>259</v>
      </c>
      <c r="B85" s="47" t="n">
        <f aca="false">SUM(B80:B84)</f>
        <v>2.59541573402249</v>
      </c>
      <c r="C85" s="47" t="n">
        <f aca="false">SUM(C80:C84)</f>
        <v>2.59541573402249</v>
      </c>
      <c r="D85" s="47" t="n">
        <f aca="false">SUM(D80:D84)</f>
        <v>3.56394200153554</v>
      </c>
      <c r="E85" s="47" t="n">
        <f aca="false">SUM(E80:E84)</f>
        <v>1.87136166631473</v>
      </c>
      <c r="F85" s="47" t="n">
        <f aca="false">SUM(F80:F84)</f>
        <v>2.3509435342172</v>
      </c>
      <c r="G85" s="48" t="n">
        <f aca="false">SUM(B80:F84)</f>
        <v>12.9770786701125</v>
      </c>
    </row>
    <row r="86" customFormat="false" ht="15" hidden="false" customHeight="false" outlineLevel="0" collapsed="false">
      <c r="A86" s="46" t="s">
        <v>260</v>
      </c>
      <c r="B86" s="47" t="n">
        <f aca="false">AVERAGE(B80:B84)</f>
        <v>0.519083146804498</v>
      </c>
      <c r="C86" s="47" t="n">
        <f aca="false">AVERAGE(C80:C84)</f>
        <v>0.519083146804498</v>
      </c>
      <c r="D86" s="47" t="n">
        <f aca="false">AVERAGE(D80:D84)</f>
        <v>0.712788400307108</v>
      </c>
      <c r="E86" s="47" t="n">
        <f aca="false">AVERAGE(E80:E84)</f>
        <v>0.374272333262947</v>
      </c>
      <c r="F86" s="47" t="n">
        <f aca="false">AVERAGE(F80:F84)</f>
        <v>0.470188706843439</v>
      </c>
      <c r="H86" s="48" t="n">
        <f aca="false">AVERAGE(B80:F84)</f>
        <v>0.519083146804498</v>
      </c>
    </row>
    <row r="87" customFormat="false" ht="15" hidden="false" customHeight="false" outlineLevel="0" collapsed="false">
      <c r="A87" s="46" t="s">
        <v>261</v>
      </c>
      <c r="B87" s="47" t="n">
        <f aca="false">stdev.s(B80:B84)</f>
        <v>0.291561603765898</v>
      </c>
      <c r="C87" s="47" t="n">
        <f aca="false">stdev.s(C80:C84)</f>
        <v>0.291561603765898</v>
      </c>
      <c r="D87" s="47" t="n">
        <f aca="false">stdev.s(D80:D84)</f>
        <v>0.270113274069978</v>
      </c>
      <c r="E87" s="47" t="n">
        <f aca="false">stdev.s(E80:E84)</f>
        <v>0.125515439252164</v>
      </c>
      <c r="F87" s="47" t="n">
        <f aca="false">stdev.s(F80:F84)</f>
        <v>0.300343130497325</v>
      </c>
      <c r="I87" s="48" t="n">
        <f aca="false">stdev.s(B80:F84)</f>
        <v>0.266158112141609</v>
      </c>
    </row>
    <row r="88" customFormat="false" ht="15" hidden="false" customHeight="false" outlineLevel="0" collapsed="false">
      <c r="A88" s="46" t="s">
        <v>262</v>
      </c>
      <c r="B88" s="49" t="n">
        <f aca="false">IF(G85=0,0,B85/G85)</f>
        <v>0.2</v>
      </c>
      <c r="C88" s="49" t="n">
        <f aca="false">IF(G85=0,0,C85/G85)</f>
        <v>0.2</v>
      </c>
      <c r="D88" s="49" t="n">
        <f aca="false">IF(G85=0,0,D85/G85)</f>
        <v>0.274633613013664</v>
      </c>
      <c r="E88" s="49" t="n">
        <f aca="false">IF(G85=0,0,E85/G85)</f>
        <v>0.144205156945274</v>
      </c>
      <c r="F88" s="49" t="n">
        <f aca="false">IF(G85=0,0,F85/G85)</f>
        <v>0.181161230041062</v>
      </c>
      <c r="J88" s="50" t="n">
        <v>1</v>
      </c>
    </row>
  </sheetData>
  <mergeCells count="44">
    <mergeCell ref="C1:E3"/>
    <mergeCell ref="C4:E5"/>
    <mergeCell ref="A7:AP7"/>
    <mergeCell ref="A9:E9"/>
    <mergeCell ref="F9:J9"/>
    <mergeCell ref="K9:N9"/>
    <mergeCell ref="O9:P9"/>
    <mergeCell ref="Q9:Z9"/>
    <mergeCell ref="AA9:AP9"/>
    <mergeCell ref="A18:F18"/>
    <mergeCell ref="A28:F28"/>
    <mergeCell ref="H28:M28"/>
    <mergeCell ref="I38:M38"/>
    <mergeCell ref="J39:K39"/>
    <mergeCell ref="L39:M39"/>
    <mergeCell ref="I46:M46"/>
    <mergeCell ref="A47:F47"/>
    <mergeCell ref="K48:M48"/>
    <mergeCell ref="K49:M49"/>
    <mergeCell ref="K50:M50"/>
    <mergeCell ref="K51:M51"/>
    <mergeCell ref="K52:M52"/>
    <mergeCell ref="K53:M53"/>
    <mergeCell ref="K54:M54"/>
    <mergeCell ref="K55:M55"/>
    <mergeCell ref="K56:M56"/>
    <mergeCell ref="K57:M57"/>
    <mergeCell ref="K58:M58"/>
    <mergeCell ref="K59:M59"/>
    <mergeCell ref="K60:M60"/>
    <mergeCell ref="K61:M61"/>
    <mergeCell ref="K62:M62"/>
    <mergeCell ref="K63:M63"/>
    <mergeCell ref="A65:S65"/>
    <mergeCell ref="B66:C66"/>
    <mergeCell ref="D66:E66"/>
    <mergeCell ref="F66:G66"/>
    <mergeCell ref="H66:I66"/>
    <mergeCell ref="J66:K66"/>
    <mergeCell ref="L66:M66"/>
    <mergeCell ref="N66:O66"/>
    <mergeCell ref="P66:Q66"/>
    <mergeCell ref="R66:S66"/>
    <mergeCell ref="A78:F7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9"/>
  <sheetViews>
    <sheetView showFormulas="false" showGridLines="true" showRowColHeaders="true" showZeros="true" rightToLeft="false" tabSelected="false" showOutlineSymbols="true" defaultGridColor="true" view="normal" topLeftCell="A1" colorId="64" zoomScale="197" zoomScaleNormal="197" zoomScalePageLayoutView="100" workbookViewId="0">
      <selection pane="topLeft" activeCell="A1" activeCellId="0" sqref="A1"/>
    </sheetView>
  </sheetViews>
  <sheetFormatPr defaultColWidth="8.60546875" defaultRowHeight="15" customHeight="false" zeroHeight="false" outlineLevelRow="0" outlineLevelCol="0"/>
  <sheetData>
    <row r="1" customFormat="false" ht="19.5" hidden="false" customHeight="true" outlineLevel="0" collapsed="false">
      <c r="A1" s="1"/>
      <c r="B1" s="1"/>
      <c r="C1" s="2" t="s">
        <v>263</v>
      </c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customFormat="false" ht="19.5" hidden="false" customHeight="true" outlineLevel="0" collapsed="false">
      <c r="A2" s="1"/>
      <c r="B2" s="1"/>
      <c r="C2" s="2"/>
      <c r="D2" s="2"/>
      <c r="E2" s="2"/>
      <c r="F2" s="3"/>
      <c r="G2" s="4" t="s">
        <v>1</v>
      </c>
      <c r="H2" s="5" t="s">
        <v>2</v>
      </c>
      <c r="I2" s="3"/>
      <c r="J2" s="3"/>
      <c r="K2" s="3"/>
      <c r="L2" s="3"/>
      <c r="M2" s="3"/>
      <c r="N2" s="3"/>
      <c r="O2" s="3"/>
      <c r="P2" s="3"/>
      <c r="Q2" s="3"/>
      <c r="R2" s="3"/>
    </row>
    <row r="3" customFormat="false" ht="19.5" hidden="false" customHeight="true" outlineLevel="0" collapsed="false">
      <c r="A3" s="1"/>
      <c r="B3" s="1"/>
      <c r="C3" s="2"/>
      <c r="D3" s="2"/>
      <c r="E3" s="2"/>
      <c r="F3" s="3"/>
      <c r="G3" s="4" t="s">
        <v>3</v>
      </c>
      <c r="H3" s="5" t="s">
        <v>4</v>
      </c>
      <c r="I3" s="3"/>
      <c r="J3" s="3"/>
      <c r="K3" s="4" t="s">
        <v>5</v>
      </c>
      <c r="L3" s="6" t="s">
        <v>6</v>
      </c>
      <c r="M3" s="3"/>
      <c r="N3" s="3"/>
      <c r="O3" s="3"/>
      <c r="P3" s="3"/>
      <c r="Q3" s="3"/>
      <c r="R3" s="3"/>
    </row>
    <row r="4" customFormat="false" ht="19.5" hidden="false" customHeight="true" outlineLevel="0" collapsed="false">
      <c r="A4" s="1"/>
      <c r="B4" s="1"/>
      <c r="C4" s="7" t="s">
        <v>7</v>
      </c>
      <c r="D4" s="7"/>
      <c r="E4" s="7"/>
      <c r="F4" s="3"/>
      <c r="G4" s="4" t="s">
        <v>8</v>
      </c>
      <c r="H4" s="5" t="s">
        <v>9</v>
      </c>
      <c r="I4" s="3"/>
      <c r="J4" s="3"/>
      <c r="K4" s="4" t="s">
        <v>10</v>
      </c>
      <c r="L4" s="6" t="s">
        <v>11</v>
      </c>
      <c r="M4" s="3"/>
      <c r="N4" s="3"/>
      <c r="O4" s="3"/>
      <c r="P4" s="3"/>
      <c r="Q4" s="3"/>
      <c r="R4" s="3"/>
    </row>
    <row r="5" customFormat="false" ht="19.5" hidden="false" customHeight="true" outlineLevel="0" collapsed="false">
      <c r="A5" s="8"/>
      <c r="B5" s="8"/>
      <c r="C5" s="7"/>
      <c r="D5" s="7"/>
      <c r="E5" s="7"/>
      <c r="F5" s="9"/>
      <c r="G5" s="10" t="s">
        <v>12</v>
      </c>
      <c r="H5" s="11" t="s">
        <v>13</v>
      </c>
      <c r="I5" s="9"/>
      <c r="J5" s="9"/>
      <c r="K5" s="10" t="s">
        <v>14</v>
      </c>
      <c r="L5" s="12" t="s">
        <v>15</v>
      </c>
      <c r="M5" s="9"/>
      <c r="N5" s="9"/>
      <c r="O5" s="9"/>
      <c r="P5" s="9"/>
      <c r="Q5" s="9"/>
      <c r="R5" s="9"/>
    </row>
    <row r="7" customFormat="false" ht="17.35" hidden="false" customHeight="false" outlineLevel="0" collapsed="false">
      <c r="A7" s="13" t="s">
        <v>264</v>
      </c>
      <c r="B7" s="13"/>
      <c r="C7" s="13"/>
      <c r="D7" s="13"/>
      <c r="E7" s="13"/>
      <c r="F7" s="13"/>
    </row>
    <row r="9" customFormat="false" ht="17.35" hidden="false" customHeight="false" outlineLevel="0" collapsed="false">
      <c r="A9" s="19" t="s">
        <v>95</v>
      </c>
      <c r="B9" s="19" t="s">
        <v>65</v>
      </c>
      <c r="C9" s="19" t="s">
        <v>71</v>
      </c>
      <c r="D9" s="19" t="s">
        <v>74</v>
      </c>
      <c r="E9" s="19" t="s">
        <v>75</v>
      </c>
      <c r="F9" s="19" t="s">
        <v>70</v>
      </c>
    </row>
    <row r="10" customFormat="false" ht="15" hidden="false" customHeight="false" outlineLevel="0" collapsed="false">
      <c r="A10" s="18" t="s">
        <v>65</v>
      </c>
      <c r="B10" s="24" t="s">
        <v>100</v>
      </c>
      <c r="C10" s="51" t="s">
        <v>101</v>
      </c>
      <c r="D10" s="22" t="s">
        <v>102</v>
      </c>
      <c r="E10" s="20" t="s">
        <v>103</v>
      </c>
      <c r="F10" s="26" t="s">
        <v>104</v>
      </c>
    </row>
    <row r="11" customFormat="false" ht="15" hidden="false" customHeight="false" outlineLevel="0" collapsed="false">
      <c r="A11" s="18" t="s">
        <v>71</v>
      </c>
      <c r="B11" s="51" t="s">
        <v>101</v>
      </c>
      <c r="C11" s="24" t="s">
        <v>100</v>
      </c>
      <c r="D11" s="24" t="s">
        <v>100</v>
      </c>
      <c r="E11" s="25" t="s">
        <v>105</v>
      </c>
      <c r="F11" s="20" t="s">
        <v>103</v>
      </c>
    </row>
    <row r="12" customFormat="false" ht="15" hidden="false" customHeight="false" outlineLevel="0" collapsed="false">
      <c r="A12" s="18" t="s">
        <v>74</v>
      </c>
      <c r="B12" s="22" t="s">
        <v>102</v>
      </c>
      <c r="C12" s="24" t="s">
        <v>100</v>
      </c>
      <c r="D12" s="51" t="s">
        <v>101</v>
      </c>
      <c r="E12" s="26" t="s">
        <v>104</v>
      </c>
      <c r="F12" s="25" t="s">
        <v>106</v>
      </c>
    </row>
    <row r="13" customFormat="false" ht="15" hidden="false" customHeight="false" outlineLevel="0" collapsed="false">
      <c r="A13" s="18" t="s">
        <v>75</v>
      </c>
      <c r="B13" s="23" t="s">
        <v>107</v>
      </c>
      <c r="C13" s="25" t="s">
        <v>108</v>
      </c>
      <c r="D13" s="26" t="s">
        <v>104</v>
      </c>
      <c r="E13" s="24" t="s">
        <v>100</v>
      </c>
      <c r="F13" s="51" t="s">
        <v>101</v>
      </c>
    </row>
    <row r="14" customFormat="false" ht="15" hidden="false" customHeight="false" outlineLevel="0" collapsed="false">
      <c r="A14" s="18" t="s">
        <v>70</v>
      </c>
      <c r="B14" s="26" t="s">
        <v>104</v>
      </c>
      <c r="C14" s="23" t="s">
        <v>107</v>
      </c>
      <c r="D14" s="25" t="s">
        <v>106</v>
      </c>
      <c r="E14" s="51" t="s">
        <v>101</v>
      </c>
      <c r="F14" s="24" t="s">
        <v>100</v>
      </c>
    </row>
    <row r="17" customFormat="false" ht="17.35" hidden="false" customHeight="false" outlineLevel="0" collapsed="false">
      <c r="A17" s="13" t="s">
        <v>166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</row>
    <row r="18" customFormat="false" ht="17.35" hidden="false" customHeight="false" outlineLevel="0" collapsed="false">
      <c r="A18" s="19" t="s">
        <v>167</v>
      </c>
      <c r="B18" s="18" t="s">
        <v>168</v>
      </c>
      <c r="C18" s="18"/>
      <c r="D18" s="18" t="s">
        <v>169</v>
      </c>
      <c r="E18" s="18"/>
      <c r="F18" s="18" t="s">
        <v>170</v>
      </c>
      <c r="G18" s="18"/>
      <c r="H18" s="18" t="s">
        <v>171</v>
      </c>
      <c r="I18" s="18"/>
      <c r="J18" s="18" t="s">
        <v>172</v>
      </c>
      <c r="K18" s="18"/>
      <c r="L18" s="18" t="s">
        <v>173</v>
      </c>
      <c r="M18" s="18"/>
      <c r="N18" s="18" t="s">
        <v>174</v>
      </c>
      <c r="O18" s="18"/>
      <c r="P18" s="18" t="s">
        <v>175</v>
      </c>
      <c r="Q18" s="18"/>
      <c r="R18" s="18" t="s">
        <v>176</v>
      </c>
      <c r="S18" s="18"/>
    </row>
    <row r="19" customFormat="false" ht="17.35" hidden="false" customHeight="false" outlineLevel="0" collapsed="false">
      <c r="A19" s="19" t="s">
        <v>177</v>
      </c>
      <c r="B19" s="38" t="n">
        <v>81</v>
      </c>
      <c r="C19" s="39" t="s">
        <v>100</v>
      </c>
      <c r="D19" s="40" t="n">
        <v>80</v>
      </c>
      <c r="E19" s="40" t="s">
        <v>178</v>
      </c>
      <c r="F19" s="38" t="n">
        <v>78</v>
      </c>
      <c r="G19" s="38" t="s">
        <v>179</v>
      </c>
      <c r="H19" s="40" t="n">
        <v>75</v>
      </c>
      <c r="I19" s="40" t="s">
        <v>180</v>
      </c>
      <c r="J19" s="38" t="n">
        <v>71</v>
      </c>
      <c r="K19" s="38" t="s">
        <v>181</v>
      </c>
      <c r="L19" s="40" t="n">
        <v>66</v>
      </c>
      <c r="M19" s="40" t="s">
        <v>182</v>
      </c>
      <c r="N19" s="38" t="n">
        <v>60</v>
      </c>
      <c r="O19" s="38" t="s">
        <v>183</v>
      </c>
      <c r="P19" s="40" t="n">
        <v>53</v>
      </c>
      <c r="Q19" s="40" t="s">
        <v>184</v>
      </c>
      <c r="R19" s="38" t="n">
        <v>45</v>
      </c>
      <c r="S19" s="38" t="s">
        <v>185</v>
      </c>
    </row>
    <row r="20" customFormat="false" ht="17.35" hidden="false" customHeight="false" outlineLevel="0" collapsed="false">
      <c r="A20" s="19" t="s">
        <v>186</v>
      </c>
      <c r="B20" s="40" t="n">
        <v>79</v>
      </c>
      <c r="C20" s="40" t="s">
        <v>187</v>
      </c>
      <c r="D20" s="38" t="n">
        <v>77</v>
      </c>
      <c r="E20" s="39" t="s">
        <v>101</v>
      </c>
      <c r="F20" s="40" t="n">
        <v>74</v>
      </c>
      <c r="G20" s="40" t="s">
        <v>188</v>
      </c>
      <c r="H20" s="38" t="n">
        <v>70</v>
      </c>
      <c r="I20" s="38" t="s">
        <v>189</v>
      </c>
      <c r="J20" s="40" t="n">
        <v>65</v>
      </c>
      <c r="K20" s="40" t="s">
        <v>190</v>
      </c>
      <c r="L20" s="38" t="n">
        <v>59</v>
      </c>
      <c r="M20" s="38" t="s">
        <v>191</v>
      </c>
      <c r="N20" s="40" t="n">
        <v>52</v>
      </c>
      <c r="O20" s="40" t="s">
        <v>192</v>
      </c>
      <c r="P20" s="38" t="n">
        <v>44</v>
      </c>
      <c r="Q20" s="38" t="s">
        <v>193</v>
      </c>
      <c r="R20" s="40" t="n">
        <v>36</v>
      </c>
      <c r="S20" s="40" t="s">
        <v>194</v>
      </c>
    </row>
    <row r="21" customFormat="false" ht="17.35" hidden="false" customHeight="false" outlineLevel="0" collapsed="false">
      <c r="A21" s="19" t="s">
        <v>195</v>
      </c>
      <c r="B21" s="38" t="n">
        <v>76</v>
      </c>
      <c r="C21" s="38" t="s">
        <v>196</v>
      </c>
      <c r="D21" s="40" t="n">
        <v>73</v>
      </c>
      <c r="E21" s="40" t="s">
        <v>197</v>
      </c>
      <c r="F21" s="38" t="n">
        <v>69</v>
      </c>
      <c r="G21" s="39" t="s">
        <v>198</v>
      </c>
      <c r="H21" s="40" t="n">
        <v>64</v>
      </c>
      <c r="I21" s="40" t="s">
        <v>199</v>
      </c>
      <c r="J21" s="38" t="n">
        <v>58</v>
      </c>
      <c r="K21" s="38" t="s">
        <v>200</v>
      </c>
      <c r="L21" s="40" t="n">
        <v>51</v>
      </c>
      <c r="M21" s="40" t="s">
        <v>201</v>
      </c>
      <c r="N21" s="38" t="n">
        <v>43</v>
      </c>
      <c r="O21" s="38" t="s">
        <v>202</v>
      </c>
      <c r="P21" s="40" t="n">
        <v>35</v>
      </c>
      <c r="Q21" s="40" t="s">
        <v>203</v>
      </c>
      <c r="R21" s="38" t="n">
        <v>28</v>
      </c>
      <c r="S21" s="38" t="s">
        <v>204</v>
      </c>
    </row>
    <row r="22" customFormat="false" ht="17.35" hidden="false" customHeight="false" outlineLevel="0" collapsed="false">
      <c r="A22" s="19" t="s">
        <v>205</v>
      </c>
      <c r="B22" s="40" t="n">
        <v>72</v>
      </c>
      <c r="C22" s="40" t="s">
        <v>206</v>
      </c>
      <c r="D22" s="38" t="n">
        <v>68</v>
      </c>
      <c r="E22" s="38" t="s">
        <v>207</v>
      </c>
      <c r="F22" s="40" t="n">
        <v>63</v>
      </c>
      <c r="G22" s="40" t="s">
        <v>208</v>
      </c>
      <c r="H22" s="38" t="n">
        <v>57</v>
      </c>
      <c r="I22" s="39" t="s">
        <v>209</v>
      </c>
      <c r="J22" s="40" t="n">
        <v>50</v>
      </c>
      <c r="K22" s="40" t="s">
        <v>210</v>
      </c>
      <c r="L22" s="38" t="n">
        <v>42</v>
      </c>
      <c r="M22" s="38" t="s">
        <v>211</v>
      </c>
      <c r="N22" s="40" t="n">
        <v>34</v>
      </c>
      <c r="O22" s="40" t="s">
        <v>212</v>
      </c>
      <c r="P22" s="38" t="n">
        <v>27</v>
      </c>
      <c r="Q22" s="38" t="s">
        <v>213</v>
      </c>
      <c r="R22" s="40" t="n">
        <v>21</v>
      </c>
      <c r="S22" s="40" t="s">
        <v>214</v>
      </c>
    </row>
    <row r="23" customFormat="false" ht="17.35" hidden="false" customHeight="false" outlineLevel="0" collapsed="false">
      <c r="A23" s="19" t="s">
        <v>215</v>
      </c>
      <c r="B23" s="38" t="n">
        <v>67</v>
      </c>
      <c r="C23" s="38" t="s">
        <v>216</v>
      </c>
      <c r="D23" s="40" t="n">
        <v>62</v>
      </c>
      <c r="E23" s="40" t="s">
        <v>217</v>
      </c>
      <c r="F23" s="38" t="n">
        <v>56</v>
      </c>
      <c r="G23" s="38" t="s">
        <v>218</v>
      </c>
      <c r="H23" s="40" t="n">
        <v>49</v>
      </c>
      <c r="I23" s="40" t="s">
        <v>219</v>
      </c>
      <c r="J23" s="38" t="n">
        <v>41</v>
      </c>
      <c r="K23" s="39" t="s">
        <v>102</v>
      </c>
      <c r="L23" s="40" t="n">
        <v>33</v>
      </c>
      <c r="M23" s="40" t="s">
        <v>220</v>
      </c>
      <c r="N23" s="38" t="n">
        <v>26</v>
      </c>
      <c r="O23" s="38" t="s">
        <v>221</v>
      </c>
      <c r="P23" s="40" t="n">
        <v>20</v>
      </c>
      <c r="Q23" s="40" t="s">
        <v>107</v>
      </c>
      <c r="R23" s="38" t="n">
        <v>15</v>
      </c>
      <c r="S23" s="38" t="s">
        <v>222</v>
      </c>
    </row>
    <row r="24" customFormat="false" ht="17.35" hidden="false" customHeight="false" outlineLevel="0" collapsed="false">
      <c r="A24" s="19" t="s">
        <v>223</v>
      </c>
      <c r="B24" s="40" t="n">
        <v>61</v>
      </c>
      <c r="C24" s="40" t="s">
        <v>224</v>
      </c>
      <c r="D24" s="38" t="n">
        <v>55</v>
      </c>
      <c r="E24" s="38" t="s">
        <v>225</v>
      </c>
      <c r="F24" s="40" t="n">
        <v>48</v>
      </c>
      <c r="G24" s="40" t="s">
        <v>226</v>
      </c>
      <c r="H24" s="38" t="n">
        <v>40</v>
      </c>
      <c r="I24" s="38" t="s">
        <v>227</v>
      </c>
      <c r="J24" s="40" t="n">
        <v>32</v>
      </c>
      <c r="K24" s="40" t="s">
        <v>228</v>
      </c>
      <c r="L24" s="38" t="n">
        <v>25</v>
      </c>
      <c r="M24" s="39" t="s">
        <v>229</v>
      </c>
      <c r="N24" s="40" t="n">
        <v>19</v>
      </c>
      <c r="O24" s="40" t="s">
        <v>230</v>
      </c>
      <c r="P24" s="38" t="n">
        <v>14</v>
      </c>
      <c r="Q24" s="38" t="s">
        <v>231</v>
      </c>
      <c r="R24" s="40" t="n">
        <v>10</v>
      </c>
      <c r="S24" s="40" t="s">
        <v>232</v>
      </c>
    </row>
    <row r="25" customFormat="false" ht="17.35" hidden="false" customHeight="false" outlineLevel="0" collapsed="false">
      <c r="A25" s="19" t="s">
        <v>233</v>
      </c>
      <c r="B25" s="38" t="n">
        <v>54</v>
      </c>
      <c r="C25" s="38" t="s">
        <v>234</v>
      </c>
      <c r="D25" s="40" t="n">
        <v>47</v>
      </c>
      <c r="E25" s="40" t="s">
        <v>235</v>
      </c>
      <c r="F25" s="38" t="n">
        <v>39</v>
      </c>
      <c r="G25" s="38" t="s">
        <v>236</v>
      </c>
      <c r="H25" s="40" t="n">
        <v>31</v>
      </c>
      <c r="I25" s="40" t="s">
        <v>237</v>
      </c>
      <c r="J25" s="38" t="n">
        <v>24</v>
      </c>
      <c r="K25" s="38" t="s">
        <v>238</v>
      </c>
      <c r="L25" s="40" t="n">
        <v>18</v>
      </c>
      <c r="M25" s="40" t="s">
        <v>239</v>
      </c>
      <c r="N25" s="38" t="n">
        <v>13</v>
      </c>
      <c r="O25" s="39" t="s">
        <v>240</v>
      </c>
      <c r="P25" s="40" t="n">
        <v>9</v>
      </c>
      <c r="Q25" s="40" t="s">
        <v>241</v>
      </c>
      <c r="R25" s="38" t="n">
        <v>6</v>
      </c>
      <c r="S25" s="38" t="s">
        <v>242</v>
      </c>
    </row>
    <row r="26" customFormat="false" ht="17.35" hidden="false" customHeight="false" outlineLevel="0" collapsed="false">
      <c r="A26" s="19" t="s">
        <v>243</v>
      </c>
      <c r="B26" s="40" t="n">
        <v>46</v>
      </c>
      <c r="C26" s="40" t="s">
        <v>244</v>
      </c>
      <c r="D26" s="38" t="n">
        <v>38</v>
      </c>
      <c r="E26" s="38" t="s">
        <v>245</v>
      </c>
      <c r="F26" s="40" t="n">
        <v>30</v>
      </c>
      <c r="G26" s="40" t="s">
        <v>246</v>
      </c>
      <c r="H26" s="38" t="n">
        <v>23</v>
      </c>
      <c r="I26" s="38" t="s">
        <v>247</v>
      </c>
      <c r="J26" s="40" t="n">
        <v>17</v>
      </c>
      <c r="K26" s="40" t="s">
        <v>103</v>
      </c>
      <c r="L26" s="38" t="n">
        <v>12</v>
      </c>
      <c r="M26" s="38" t="s">
        <v>248</v>
      </c>
      <c r="N26" s="40" t="n">
        <v>8</v>
      </c>
      <c r="O26" s="40" t="s">
        <v>249</v>
      </c>
      <c r="P26" s="38" t="n">
        <v>5</v>
      </c>
      <c r="Q26" s="39" t="s">
        <v>106</v>
      </c>
      <c r="R26" s="40" t="n">
        <v>3</v>
      </c>
      <c r="S26" s="40" t="s">
        <v>108</v>
      </c>
    </row>
    <row r="27" customFormat="false" ht="17.35" hidden="false" customHeight="false" outlineLevel="0" collapsed="false">
      <c r="A27" s="19" t="s">
        <v>250</v>
      </c>
      <c r="B27" s="38" t="n">
        <v>37</v>
      </c>
      <c r="C27" s="38" t="s">
        <v>251</v>
      </c>
      <c r="D27" s="40" t="n">
        <v>29</v>
      </c>
      <c r="E27" s="40" t="s">
        <v>252</v>
      </c>
      <c r="F27" s="38" t="n">
        <v>22</v>
      </c>
      <c r="G27" s="38" t="s">
        <v>253</v>
      </c>
      <c r="H27" s="40" t="n">
        <v>16</v>
      </c>
      <c r="I27" s="40" t="s">
        <v>254</v>
      </c>
      <c r="J27" s="38" t="n">
        <v>11</v>
      </c>
      <c r="K27" s="38" t="s">
        <v>255</v>
      </c>
      <c r="L27" s="40" t="n">
        <v>7</v>
      </c>
      <c r="M27" s="40" t="s">
        <v>256</v>
      </c>
      <c r="N27" s="38" t="n">
        <v>4</v>
      </c>
      <c r="O27" s="38" t="s">
        <v>257</v>
      </c>
      <c r="P27" s="40" t="n">
        <v>2</v>
      </c>
      <c r="Q27" s="40" t="s">
        <v>105</v>
      </c>
      <c r="R27" s="38" t="n">
        <v>1</v>
      </c>
      <c r="S27" s="39" t="s">
        <v>104</v>
      </c>
    </row>
    <row r="30" customFormat="false" ht="17.35" hidden="false" customHeight="false" outlineLevel="0" collapsed="false">
      <c r="A30" s="13" t="s">
        <v>265</v>
      </c>
      <c r="B30" s="13"/>
      <c r="C30" s="13"/>
      <c r="D30" s="13"/>
      <c r="E30" s="13"/>
      <c r="F30" s="13"/>
      <c r="H30" s="13" t="s">
        <v>266</v>
      </c>
      <c r="I30" s="13"/>
      <c r="J30" s="13"/>
      <c r="K30" s="13"/>
      <c r="L30" s="13"/>
      <c r="M30" s="13"/>
    </row>
    <row r="32" customFormat="false" ht="15" hidden="false" customHeight="false" outlineLevel="0" collapsed="false">
      <c r="A32" s="52" t="s">
        <v>267</v>
      </c>
      <c r="B32" s="52" t="s">
        <v>65</v>
      </c>
      <c r="C32" s="52" t="s">
        <v>71</v>
      </c>
      <c r="D32" s="52" t="s">
        <v>74</v>
      </c>
      <c r="E32" s="52" t="s">
        <v>75</v>
      </c>
      <c r="F32" s="52" t="s">
        <v>70</v>
      </c>
      <c r="H32" s="52"/>
      <c r="I32" s="52" t="s">
        <v>100</v>
      </c>
      <c r="J32" s="52"/>
      <c r="K32" s="52"/>
      <c r="L32" s="52" t="s">
        <v>101</v>
      </c>
      <c r="M32" s="52" t="s">
        <v>103</v>
      </c>
    </row>
    <row r="33" customFormat="false" ht="15" hidden="false" customHeight="false" outlineLevel="0" collapsed="false">
      <c r="A33" s="52" t="s">
        <v>65</v>
      </c>
      <c r="B33" s="53" t="n">
        <v>81</v>
      </c>
      <c r="C33" s="53" t="n">
        <v>77</v>
      </c>
      <c r="D33" s="53" t="n">
        <v>41</v>
      </c>
      <c r="E33" s="53" t="n">
        <v>17</v>
      </c>
      <c r="F33" s="53" t="n">
        <v>1</v>
      </c>
      <c r="H33" s="52" t="s">
        <v>100</v>
      </c>
      <c r="I33" s="54" t="n">
        <v>81</v>
      </c>
      <c r="J33" s="54" t="n">
        <v>81</v>
      </c>
      <c r="K33" s="54" t="n">
        <v>81</v>
      </c>
      <c r="L33" s="54" t="n">
        <v>77</v>
      </c>
      <c r="M33" s="55"/>
    </row>
    <row r="34" customFormat="false" ht="15" hidden="false" customHeight="false" outlineLevel="0" collapsed="false">
      <c r="A34" s="52" t="s">
        <v>71</v>
      </c>
      <c r="B34" s="53" t="n">
        <v>77</v>
      </c>
      <c r="C34" s="53" t="n">
        <v>81</v>
      </c>
      <c r="D34" s="53" t="n">
        <v>81</v>
      </c>
      <c r="E34" s="53" t="n">
        <v>2</v>
      </c>
      <c r="F34" s="53" t="n">
        <v>17</v>
      </c>
      <c r="H34" s="52"/>
      <c r="I34" s="54" t="n">
        <v>81</v>
      </c>
      <c r="J34" s="54" t="n">
        <v>81</v>
      </c>
      <c r="K34" s="54" t="n">
        <v>77</v>
      </c>
      <c r="L34" s="55"/>
      <c r="M34" s="56" t="n">
        <v>17</v>
      </c>
    </row>
    <row r="35" customFormat="false" ht="15" hidden="false" customHeight="false" outlineLevel="0" collapsed="false">
      <c r="A35" s="52" t="s">
        <v>74</v>
      </c>
      <c r="B35" s="53" t="n">
        <v>41</v>
      </c>
      <c r="C35" s="53" t="n">
        <v>81</v>
      </c>
      <c r="D35" s="53" t="n">
        <v>77</v>
      </c>
      <c r="E35" s="53" t="n">
        <v>1</v>
      </c>
      <c r="F35" s="53" t="n">
        <v>5</v>
      </c>
      <c r="H35" s="52"/>
      <c r="I35" s="54" t="n">
        <v>81</v>
      </c>
      <c r="J35" s="54" t="n">
        <v>77</v>
      </c>
      <c r="K35" s="55"/>
      <c r="L35" s="56" t="n">
        <v>17</v>
      </c>
      <c r="M35" s="56" t="n">
        <v>3</v>
      </c>
    </row>
    <row r="36" customFormat="false" ht="15" hidden="false" customHeight="false" outlineLevel="0" collapsed="false">
      <c r="A36" s="52" t="s">
        <v>75</v>
      </c>
      <c r="B36" s="53" t="n">
        <v>20</v>
      </c>
      <c r="C36" s="53" t="n">
        <v>3</v>
      </c>
      <c r="D36" s="53" t="n">
        <v>1</v>
      </c>
      <c r="E36" s="53" t="n">
        <v>81</v>
      </c>
      <c r="F36" s="53" t="n">
        <v>77</v>
      </c>
      <c r="H36" s="52" t="s">
        <v>101</v>
      </c>
      <c r="I36" s="54" t="n">
        <v>77</v>
      </c>
      <c r="J36" s="56" t="n">
        <v>20</v>
      </c>
      <c r="K36" s="56" t="n">
        <v>5</v>
      </c>
      <c r="L36" s="56" t="n">
        <v>2</v>
      </c>
      <c r="M36" s="56" t="n">
        <v>1</v>
      </c>
    </row>
    <row r="37" customFormat="false" ht="15" hidden="false" customHeight="false" outlineLevel="0" collapsed="false">
      <c r="A37" s="52" t="s">
        <v>70</v>
      </c>
      <c r="B37" s="53" t="n">
        <v>1</v>
      </c>
      <c r="C37" s="53" t="n">
        <v>20</v>
      </c>
      <c r="D37" s="53" t="n">
        <v>5</v>
      </c>
      <c r="E37" s="53" t="n">
        <v>77</v>
      </c>
      <c r="F37" s="53" t="n">
        <v>81</v>
      </c>
      <c r="H37" s="52" t="s">
        <v>107</v>
      </c>
      <c r="I37" s="56" t="n">
        <v>20</v>
      </c>
      <c r="J37" s="56" t="n">
        <v>5</v>
      </c>
      <c r="K37" s="56" t="n">
        <v>1</v>
      </c>
      <c r="L37" s="56" t="n">
        <v>1</v>
      </c>
      <c r="M37" s="56" t="n">
        <v>1</v>
      </c>
    </row>
    <row r="41" customFormat="false" ht="17.35" hidden="false" customHeight="false" outlineLevel="0" collapsed="false">
      <c r="A41" s="13" t="s">
        <v>268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M41" s="13" t="s">
        <v>269</v>
      </c>
      <c r="N41" s="13"/>
      <c r="O41" s="13"/>
      <c r="P41" s="13"/>
      <c r="Q41" s="13"/>
    </row>
    <row r="42" customFormat="false" ht="15" hidden="false" customHeight="false" outlineLevel="0" collapsed="false">
      <c r="A42" s="57" t="s">
        <v>167</v>
      </c>
      <c r="B42" s="58" t="s">
        <v>168</v>
      </c>
      <c r="C42" s="58" t="s">
        <v>169</v>
      </c>
      <c r="D42" s="58" t="s">
        <v>170</v>
      </c>
      <c r="E42" s="58" t="s">
        <v>171</v>
      </c>
      <c r="F42" s="58" t="s">
        <v>172</v>
      </c>
      <c r="G42" s="58" t="s">
        <v>173</v>
      </c>
      <c r="H42" s="58" t="s">
        <v>174</v>
      </c>
      <c r="I42" s="58" t="s">
        <v>175</v>
      </c>
      <c r="J42" s="58" t="s">
        <v>176</v>
      </c>
      <c r="K42" s="57" t="s">
        <v>270</v>
      </c>
      <c r="M42" s="57" t="s">
        <v>271</v>
      </c>
      <c r="N42" s="58" t="s">
        <v>169</v>
      </c>
      <c r="O42" s="58" t="s">
        <v>172</v>
      </c>
      <c r="P42" s="58" t="s">
        <v>175</v>
      </c>
      <c r="Q42" s="57" t="s">
        <v>270</v>
      </c>
    </row>
    <row r="43" customFormat="false" ht="15" hidden="false" customHeight="false" outlineLevel="0" collapsed="false">
      <c r="A43" s="57" t="s">
        <v>177</v>
      </c>
      <c r="B43" s="20" t="n">
        <v>6</v>
      </c>
      <c r="C43" s="34"/>
      <c r="D43" s="34"/>
      <c r="E43" s="34"/>
      <c r="F43" s="34"/>
      <c r="G43" s="34"/>
      <c r="H43" s="34"/>
      <c r="I43" s="34"/>
      <c r="J43" s="34"/>
      <c r="K43" s="59" t="n">
        <v>6</v>
      </c>
      <c r="M43" s="57" t="s">
        <v>186</v>
      </c>
      <c r="N43" s="20" t="n">
        <v>11</v>
      </c>
      <c r="O43" s="34"/>
      <c r="P43" s="34"/>
      <c r="Q43" s="59" t="n">
        <v>11</v>
      </c>
    </row>
    <row r="44" customFormat="false" ht="15" hidden="false" customHeight="false" outlineLevel="0" collapsed="false">
      <c r="A44" s="57" t="s">
        <v>186</v>
      </c>
      <c r="B44" s="34"/>
      <c r="C44" s="20" t="n">
        <v>5</v>
      </c>
      <c r="D44" s="34"/>
      <c r="E44" s="34"/>
      <c r="F44" s="34"/>
      <c r="G44" s="34"/>
      <c r="H44" s="34"/>
      <c r="I44" s="34"/>
      <c r="J44" s="34"/>
      <c r="K44" s="59" t="n">
        <v>5</v>
      </c>
      <c r="M44" s="57" t="s">
        <v>215</v>
      </c>
      <c r="N44" s="34"/>
      <c r="O44" s="20" t="n">
        <v>2</v>
      </c>
      <c r="P44" s="20" t="n">
        <v>2</v>
      </c>
      <c r="Q44" s="59" t="n">
        <v>4</v>
      </c>
    </row>
    <row r="45" customFormat="false" ht="15" hidden="false" customHeight="false" outlineLevel="0" collapsed="false">
      <c r="A45" s="57" t="s">
        <v>195</v>
      </c>
      <c r="B45" s="34"/>
      <c r="C45" s="34"/>
      <c r="D45" s="34"/>
      <c r="E45" s="34"/>
      <c r="F45" s="34"/>
      <c r="G45" s="34"/>
      <c r="H45" s="34"/>
      <c r="I45" s="34"/>
      <c r="J45" s="34"/>
      <c r="K45" s="59"/>
      <c r="M45" s="57" t="s">
        <v>243</v>
      </c>
      <c r="N45" s="34"/>
      <c r="O45" s="20" t="n">
        <v>2</v>
      </c>
      <c r="P45" s="20" t="n">
        <v>8</v>
      </c>
      <c r="Q45" s="59" t="n">
        <v>10</v>
      </c>
    </row>
    <row r="46" customFormat="false" ht="15" hidden="false" customHeight="false" outlineLevel="0" collapsed="false">
      <c r="A46" s="57" t="s">
        <v>205</v>
      </c>
      <c r="B46" s="34"/>
      <c r="C46" s="34"/>
      <c r="D46" s="34"/>
      <c r="E46" s="34"/>
      <c r="F46" s="34"/>
      <c r="G46" s="34"/>
      <c r="H46" s="34"/>
      <c r="I46" s="34"/>
      <c r="J46" s="34"/>
      <c r="K46" s="59"/>
      <c r="M46" s="57" t="s">
        <v>270</v>
      </c>
      <c r="N46" s="59" t="n">
        <v>11</v>
      </c>
      <c r="O46" s="59" t="n">
        <v>4</v>
      </c>
      <c r="P46" s="59" t="n">
        <v>10</v>
      </c>
      <c r="Q46" s="60" t="s">
        <v>272</v>
      </c>
    </row>
    <row r="47" customFormat="false" ht="15" hidden="false" customHeight="false" outlineLevel="0" collapsed="false">
      <c r="A47" s="57" t="s">
        <v>215</v>
      </c>
      <c r="B47" s="34"/>
      <c r="C47" s="34"/>
      <c r="D47" s="34"/>
      <c r="E47" s="34"/>
      <c r="F47" s="20" t="n">
        <v>2</v>
      </c>
      <c r="G47" s="34"/>
      <c r="H47" s="34"/>
      <c r="I47" s="20" t="n">
        <v>2</v>
      </c>
      <c r="J47" s="34"/>
      <c r="K47" s="59" t="n">
        <v>4</v>
      </c>
    </row>
    <row r="48" customFormat="false" ht="15" hidden="false" customHeight="false" outlineLevel="0" collapsed="false">
      <c r="A48" s="57" t="s">
        <v>223</v>
      </c>
      <c r="B48" s="34"/>
      <c r="C48" s="34"/>
      <c r="D48" s="34"/>
      <c r="E48" s="34"/>
      <c r="F48" s="34"/>
      <c r="G48" s="34"/>
      <c r="H48" s="34"/>
      <c r="I48" s="34"/>
      <c r="J48" s="34"/>
      <c r="K48" s="59"/>
      <c r="M48" s="57" t="s">
        <v>262</v>
      </c>
      <c r="N48" s="58" t="s">
        <v>169</v>
      </c>
      <c r="O48" s="58" t="s">
        <v>172</v>
      </c>
      <c r="P48" s="58" t="s">
        <v>175</v>
      </c>
      <c r="Q48" s="57" t="s">
        <v>270</v>
      </c>
    </row>
    <row r="49" customFormat="false" ht="15" hidden="false" customHeight="false" outlineLevel="0" collapsed="false">
      <c r="A49" s="57" t="s">
        <v>233</v>
      </c>
      <c r="B49" s="34"/>
      <c r="C49" s="34"/>
      <c r="D49" s="34"/>
      <c r="E49" s="34"/>
      <c r="F49" s="34"/>
      <c r="G49" s="34"/>
      <c r="H49" s="34"/>
      <c r="I49" s="34"/>
      <c r="J49" s="34"/>
      <c r="K49" s="59"/>
      <c r="M49" s="57" t="s">
        <v>186</v>
      </c>
      <c r="N49" s="61" t="n">
        <v>0.44</v>
      </c>
      <c r="O49" s="61"/>
      <c r="P49" s="61"/>
      <c r="Q49" s="59" t="n">
        <v>0.44</v>
      </c>
    </row>
    <row r="50" customFormat="false" ht="15" hidden="false" customHeight="false" outlineLevel="0" collapsed="false">
      <c r="A50" s="57" t="s">
        <v>243</v>
      </c>
      <c r="B50" s="34"/>
      <c r="C50" s="34"/>
      <c r="D50" s="34"/>
      <c r="E50" s="34"/>
      <c r="F50" s="20" t="n">
        <v>2</v>
      </c>
      <c r="G50" s="34"/>
      <c r="H50" s="34"/>
      <c r="I50" s="20" t="n">
        <v>2</v>
      </c>
      <c r="J50" s="20" t="n">
        <v>1</v>
      </c>
      <c r="K50" s="59" t="n">
        <v>5</v>
      </c>
      <c r="M50" s="57" t="s">
        <v>215</v>
      </c>
      <c r="N50" s="61"/>
      <c r="O50" s="61" t="n">
        <v>0.08</v>
      </c>
      <c r="P50" s="61" t="n">
        <v>0.08</v>
      </c>
      <c r="Q50" s="59" t="n">
        <v>0.16</v>
      </c>
    </row>
    <row r="51" customFormat="false" ht="15" hidden="false" customHeight="false" outlineLevel="0" collapsed="false">
      <c r="A51" s="57" t="s">
        <v>250</v>
      </c>
      <c r="B51" s="34"/>
      <c r="C51" s="34"/>
      <c r="D51" s="34"/>
      <c r="E51" s="34"/>
      <c r="F51" s="34"/>
      <c r="G51" s="34"/>
      <c r="H51" s="34"/>
      <c r="I51" s="20" t="n">
        <v>1</v>
      </c>
      <c r="J51" s="20" t="n">
        <v>4</v>
      </c>
      <c r="K51" s="59" t="n">
        <v>5</v>
      </c>
      <c r="M51" s="57" t="s">
        <v>243</v>
      </c>
      <c r="N51" s="61"/>
      <c r="O51" s="61" t="n">
        <v>0.08</v>
      </c>
      <c r="P51" s="61" t="n">
        <v>0.32</v>
      </c>
      <c r="Q51" s="59" t="n">
        <v>0.4</v>
      </c>
    </row>
    <row r="52" customFormat="false" ht="15" hidden="false" customHeight="false" outlineLevel="0" collapsed="false">
      <c r="A52" s="57" t="s">
        <v>270</v>
      </c>
      <c r="B52" s="59" t="n">
        <v>6</v>
      </c>
      <c r="C52" s="59" t="n">
        <v>5</v>
      </c>
      <c r="D52" s="59"/>
      <c r="E52" s="59"/>
      <c r="F52" s="59" t="n">
        <v>4</v>
      </c>
      <c r="G52" s="59"/>
      <c r="H52" s="59"/>
      <c r="I52" s="59" t="n">
        <v>5</v>
      </c>
      <c r="J52" s="59" t="n">
        <v>5</v>
      </c>
      <c r="K52" s="60" t="s">
        <v>272</v>
      </c>
      <c r="M52" s="57" t="s">
        <v>270</v>
      </c>
      <c r="N52" s="59" t="n">
        <v>0.44</v>
      </c>
      <c r="O52" s="59" t="n">
        <v>0.16</v>
      </c>
      <c r="P52" s="59" t="n">
        <v>0.4</v>
      </c>
      <c r="Q52" s="60" t="s">
        <v>273</v>
      </c>
    </row>
    <row r="55" customFormat="false" ht="17.35" hidden="false" customHeight="false" outlineLevel="0" collapsed="false">
      <c r="A55" s="13" t="s">
        <v>274</v>
      </c>
      <c r="B55" s="13"/>
      <c r="C55" s="13"/>
      <c r="D55" s="13"/>
      <c r="E55" s="13"/>
      <c r="F55" s="13"/>
      <c r="G55" s="13"/>
    </row>
    <row r="57" customFormat="false" ht="15" hidden="false" customHeight="false" outlineLevel="0" collapsed="false">
      <c r="A57" s="62"/>
      <c r="B57" s="63" t="s">
        <v>275</v>
      </c>
      <c r="C57" s="63" t="s">
        <v>276</v>
      </c>
      <c r="D57" s="63" t="s">
        <v>277</v>
      </c>
      <c r="E57" s="62" t="s">
        <v>278</v>
      </c>
    </row>
    <row r="58" customFormat="false" ht="15" hidden="false" customHeight="false" outlineLevel="0" collapsed="false">
      <c r="A58" s="64" t="s">
        <v>279</v>
      </c>
      <c r="B58" s="65" t="n">
        <f aca="false">IF(SUM(B43:J51)&gt;0, SUM(B43:J45)/SUM(B43:J51)*100, 0)</f>
        <v>0</v>
      </c>
      <c r="C58" s="65" t="n">
        <f aca="false">IF(SUM(B43:J51)&gt;0, SUM(B46:J48)/SUM(B43:J51)*100, 0)</f>
        <v>0</v>
      </c>
      <c r="D58" s="65" t="n">
        <f aca="false">IF(SUM(B43:J51)&gt;0, SUM(B49:J51)/SUM(B43:J51)*100, 0)</f>
        <v>0</v>
      </c>
      <c r="E58" s="20" t="n">
        <v>100</v>
      </c>
    </row>
    <row r="59" customFormat="false" ht="15" hidden="false" customHeight="false" outlineLevel="0" collapsed="false">
      <c r="A59" s="64" t="s">
        <v>280</v>
      </c>
      <c r="B59" s="65" t="n">
        <f aca="false">IF(SUM(B43:J51)&gt;0, (SUM(B43:J43)+SUM(B46:J46)+SUM(B49:J49))/SUM(B43:J51)*100, 0)</f>
        <v>0</v>
      </c>
      <c r="C59" s="65" t="n">
        <f aca="false">IF(SUM(B43:J51)&gt;0, (SUM(B44:J44)+SUM(B47:J47)+SUM(B50:J50))/SUM(B43:J51)*100, 0)</f>
        <v>0</v>
      </c>
      <c r="D59" s="65" t="n">
        <f aca="false">IF(SUM(B43:J51)&gt;0, (SUM(B45:J45)+SUM(B48:J48)+SUM(B51:J51))/SUM(B43:J51)*100, 0)</f>
        <v>0</v>
      </c>
      <c r="E59" s="20" t="n">
        <v>100</v>
      </c>
    </row>
  </sheetData>
  <mergeCells count="18">
    <mergeCell ref="C1:E3"/>
    <mergeCell ref="C4:E5"/>
    <mergeCell ref="A7:F7"/>
    <mergeCell ref="A17:S17"/>
    <mergeCell ref="B18:C18"/>
    <mergeCell ref="D18:E18"/>
    <mergeCell ref="F18:G18"/>
    <mergeCell ref="H18:I18"/>
    <mergeCell ref="J18:K18"/>
    <mergeCell ref="L18:M18"/>
    <mergeCell ref="N18:O18"/>
    <mergeCell ref="P18:Q18"/>
    <mergeCell ref="R18:S18"/>
    <mergeCell ref="A30:F30"/>
    <mergeCell ref="H30:M30"/>
    <mergeCell ref="A41:K41"/>
    <mergeCell ref="M41:Q41"/>
    <mergeCell ref="A55:G5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340"/>
  <sheetViews>
    <sheetView showFormulas="false" showGridLines="true" showRowColHeaders="true" showZeros="true" rightToLeft="false" tabSelected="false" showOutlineSymbols="true" defaultGridColor="true" view="normal" topLeftCell="A1" colorId="64" zoomScale="197" zoomScaleNormal="197" zoomScalePageLayoutView="100" workbookViewId="0">
      <selection pane="topLeft" activeCell="A1" activeCellId="0" sqref="A1"/>
    </sheetView>
  </sheetViews>
  <sheetFormatPr defaultColWidth="8.60546875" defaultRowHeight="15" customHeight="false" zeroHeight="false" outlineLevelRow="0" outlineLevelCol="0"/>
  <sheetData>
    <row r="1" customFormat="false" ht="19.5" hidden="false" customHeight="true" outlineLevel="0" collapsed="false">
      <c r="A1" s="1"/>
      <c r="B1" s="1"/>
      <c r="C1" s="2" t="s">
        <v>281</v>
      </c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customFormat="false" ht="19.5" hidden="false" customHeight="true" outlineLevel="0" collapsed="false">
      <c r="A2" s="1"/>
      <c r="B2" s="1"/>
      <c r="C2" s="2"/>
      <c r="D2" s="2"/>
      <c r="E2" s="2"/>
      <c r="F2" s="3"/>
      <c r="G2" s="4" t="s">
        <v>1</v>
      </c>
      <c r="H2" s="5" t="s">
        <v>2</v>
      </c>
      <c r="I2" s="3"/>
      <c r="J2" s="3"/>
      <c r="K2" s="3"/>
      <c r="L2" s="3"/>
      <c r="M2" s="3"/>
      <c r="N2" s="3"/>
      <c r="O2" s="3"/>
      <c r="P2" s="3"/>
      <c r="Q2" s="3"/>
      <c r="R2" s="3"/>
    </row>
    <row r="3" customFormat="false" ht="19.5" hidden="false" customHeight="true" outlineLevel="0" collapsed="false">
      <c r="A3" s="1"/>
      <c r="B3" s="1"/>
      <c r="C3" s="2"/>
      <c r="D3" s="2"/>
      <c r="E3" s="2"/>
      <c r="F3" s="3"/>
      <c r="G3" s="4" t="s">
        <v>3</v>
      </c>
      <c r="H3" s="5" t="s">
        <v>4</v>
      </c>
      <c r="I3" s="3"/>
      <c r="J3" s="3"/>
      <c r="K3" s="4" t="s">
        <v>5</v>
      </c>
      <c r="L3" s="6" t="s">
        <v>6</v>
      </c>
      <c r="M3" s="3"/>
      <c r="N3" s="3"/>
      <c r="O3" s="3"/>
      <c r="P3" s="3"/>
      <c r="Q3" s="3"/>
      <c r="R3" s="3"/>
    </row>
    <row r="4" customFormat="false" ht="19.5" hidden="false" customHeight="true" outlineLevel="0" collapsed="false">
      <c r="A4" s="1"/>
      <c r="B4" s="1"/>
      <c r="C4" s="7" t="s">
        <v>7</v>
      </c>
      <c r="D4" s="7"/>
      <c r="E4" s="7"/>
      <c r="F4" s="3"/>
      <c r="G4" s="4" t="s">
        <v>8</v>
      </c>
      <c r="H4" s="5" t="s">
        <v>9</v>
      </c>
      <c r="I4" s="3"/>
      <c r="J4" s="3"/>
      <c r="K4" s="4" t="s">
        <v>10</v>
      </c>
      <c r="L4" s="6" t="s">
        <v>11</v>
      </c>
      <c r="M4" s="3"/>
      <c r="N4" s="3"/>
      <c r="O4" s="3"/>
      <c r="P4" s="3"/>
      <c r="Q4" s="3"/>
      <c r="R4" s="3"/>
    </row>
    <row r="5" customFormat="false" ht="19.5" hidden="false" customHeight="true" outlineLevel="0" collapsed="false">
      <c r="A5" s="8"/>
      <c r="B5" s="8"/>
      <c r="C5" s="7"/>
      <c r="D5" s="7"/>
      <c r="E5" s="7"/>
      <c r="F5" s="9"/>
      <c r="G5" s="10" t="s">
        <v>12</v>
      </c>
      <c r="H5" s="11" t="s">
        <v>13</v>
      </c>
      <c r="I5" s="9"/>
      <c r="J5" s="9"/>
      <c r="K5" s="10" t="s">
        <v>14</v>
      </c>
      <c r="L5" s="12" t="s">
        <v>15</v>
      </c>
      <c r="M5" s="9"/>
      <c r="N5" s="9"/>
      <c r="O5" s="9"/>
      <c r="P5" s="9"/>
      <c r="Q5" s="9"/>
      <c r="R5" s="9"/>
    </row>
    <row r="7" customFormat="false" ht="17.35" hidden="false" customHeight="false" outlineLevel="0" collapsed="false">
      <c r="A7" s="13" t="s">
        <v>282</v>
      </c>
      <c r="B7" s="13"/>
      <c r="C7" s="13"/>
      <c r="D7" s="13"/>
      <c r="E7" s="13"/>
      <c r="F7" s="13"/>
      <c r="G7" s="13"/>
      <c r="H7" s="13"/>
      <c r="I7" s="13"/>
      <c r="J7" s="13"/>
      <c r="K7" s="13"/>
    </row>
    <row r="9" customFormat="false" ht="17.35" hidden="false" customHeight="false" outlineLevel="0" collapsed="false">
      <c r="A9" s="19" t="s">
        <v>267</v>
      </c>
      <c r="B9" s="19" t="s">
        <v>65</v>
      </c>
      <c r="C9" s="19"/>
      <c r="D9" s="19" t="s">
        <v>71</v>
      </c>
      <c r="E9" s="19"/>
      <c r="F9" s="19" t="s">
        <v>74</v>
      </c>
      <c r="G9" s="19"/>
      <c r="H9" s="19" t="s">
        <v>75</v>
      </c>
      <c r="I9" s="19"/>
      <c r="J9" s="19" t="s">
        <v>70</v>
      </c>
      <c r="K9" s="19"/>
    </row>
    <row r="10" customFormat="false" ht="17.35" hidden="false" customHeight="false" outlineLevel="0" collapsed="false">
      <c r="A10" s="19" t="s">
        <v>65</v>
      </c>
      <c r="B10" s="51" t="n">
        <v>81</v>
      </c>
      <c r="C10" s="66" t="s">
        <v>283</v>
      </c>
      <c r="D10" s="51" t="n">
        <v>77</v>
      </c>
      <c r="E10" s="66" t="s">
        <v>284</v>
      </c>
      <c r="F10" s="25" t="n">
        <v>41</v>
      </c>
      <c r="G10" s="66" t="s">
        <v>285</v>
      </c>
      <c r="H10" s="25" t="n">
        <v>17</v>
      </c>
      <c r="I10" s="66" t="s">
        <v>286</v>
      </c>
      <c r="J10" s="25" t="n">
        <v>1</v>
      </c>
      <c r="K10" s="66" t="s">
        <v>287</v>
      </c>
    </row>
    <row r="11" customFormat="false" ht="17.35" hidden="false" customHeight="false" outlineLevel="0" collapsed="false">
      <c r="A11" s="19" t="s">
        <v>71</v>
      </c>
      <c r="B11" s="51" t="n">
        <v>77</v>
      </c>
      <c r="C11" s="66" t="s">
        <v>288</v>
      </c>
      <c r="D11" s="51" t="n">
        <v>81</v>
      </c>
      <c r="E11" s="66" t="s">
        <v>289</v>
      </c>
      <c r="F11" s="51" t="n">
        <v>81</v>
      </c>
      <c r="G11" s="66" t="s">
        <v>290</v>
      </c>
      <c r="H11" s="25" t="n">
        <v>2</v>
      </c>
      <c r="I11" s="66" t="s">
        <v>291</v>
      </c>
      <c r="J11" s="25" t="n">
        <v>17</v>
      </c>
      <c r="K11" s="66" t="s">
        <v>292</v>
      </c>
    </row>
    <row r="12" customFormat="false" ht="17.35" hidden="false" customHeight="false" outlineLevel="0" collapsed="false">
      <c r="A12" s="19" t="s">
        <v>74</v>
      </c>
      <c r="B12" s="25" t="n">
        <v>41</v>
      </c>
      <c r="C12" s="66" t="s">
        <v>293</v>
      </c>
      <c r="D12" s="51" t="n">
        <v>81</v>
      </c>
      <c r="E12" s="66" t="s">
        <v>294</v>
      </c>
      <c r="F12" s="51" t="n">
        <v>77</v>
      </c>
      <c r="G12" s="66" t="s">
        <v>295</v>
      </c>
      <c r="H12" s="25" t="n">
        <v>1</v>
      </c>
      <c r="I12" s="66" t="s">
        <v>296</v>
      </c>
      <c r="J12" s="25" t="n">
        <v>5</v>
      </c>
      <c r="K12" s="66" t="s">
        <v>297</v>
      </c>
    </row>
    <row r="13" customFormat="false" ht="17.35" hidden="false" customHeight="false" outlineLevel="0" collapsed="false">
      <c r="A13" s="19" t="s">
        <v>75</v>
      </c>
      <c r="B13" s="25" t="n">
        <v>20</v>
      </c>
      <c r="C13" s="66" t="s">
        <v>298</v>
      </c>
      <c r="D13" s="25" t="n">
        <v>3</v>
      </c>
      <c r="E13" s="66" t="s">
        <v>299</v>
      </c>
      <c r="F13" s="25" t="n">
        <v>1</v>
      </c>
      <c r="G13" s="66" t="s">
        <v>300</v>
      </c>
      <c r="H13" s="51" t="n">
        <v>81</v>
      </c>
      <c r="I13" s="66" t="s">
        <v>301</v>
      </c>
      <c r="J13" s="51" t="n">
        <v>77</v>
      </c>
      <c r="K13" s="66" t="s">
        <v>302</v>
      </c>
    </row>
    <row r="14" customFormat="false" ht="17.35" hidden="false" customHeight="false" outlineLevel="0" collapsed="false">
      <c r="A14" s="19" t="s">
        <v>70</v>
      </c>
      <c r="B14" s="25" t="n">
        <v>1</v>
      </c>
      <c r="C14" s="66" t="s">
        <v>303</v>
      </c>
      <c r="D14" s="25" t="n">
        <v>20</v>
      </c>
      <c r="E14" s="66" t="s">
        <v>304</v>
      </c>
      <c r="F14" s="25" t="n">
        <v>5</v>
      </c>
      <c r="G14" s="66" t="s">
        <v>305</v>
      </c>
      <c r="H14" s="51" t="n">
        <v>77</v>
      </c>
      <c r="I14" s="66" t="s">
        <v>306</v>
      </c>
      <c r="J14" s="51" t="n">
        <v>81</v>
      </c>
      <c r="K14" s="66" t="s">
        <v>307</v>
      </c>
    </row>
    <row r="17" customFormat="false" ht="17.35" hidden="false" customHeight="false" outlineLevel="0" collapsed="false">
      <c r="A17" s="13" t="s">
        <v>308</v>
      </c>
      <c r="B17" s="13"/>
      <c r="C17" s="13"/>
      <c r="D17" s="13"/>
      <c r="E17" s="13"/>
      <c r="F17" s="13"/>
      <c r="G17" s="13"/>
      <c r="H17" s="13"/>
      <c r="I17" s="13"/>
      <c r="J17" s="13"/>
      <c r="M17" s="13" t="s">
        <v>309</v>
      </c>
      <c r="N17" s="13"/>
      <c r="O17" s="13"/>
      <c r="P17" s="13"/>
      <c r="Q17" s="13"/>
      <c r="R17" s="13"/>
      <c r="S17" s="13"/>
      <c r="T17" s="13"/>
      <c r="U17" s="13"/>
      <c r="V17" s="13"/>
    </row>
    <row r="19" customFormat="false" ht="15" hidden="false" customHeight="false" outlineLevel="0" collapsed="false">
      <c r="A19" s="58" t="s">
        <v>167</v>
      </c>
      <c r="B19" s="58" t="s">
        <v>168</v>
      </c>
      <c r="C19" s="58" t="s">
        <v>169</v>
      </c>
      <c r="D19" s="58" t="s">
        <v>170</v>
      </c>
      <c r="E19" s="58" t="s">
        <v>171</v>
      </c>
      <c r="F19" s="58" t="s">
        <v>172</v>
      </c>
      <c r="G19" s="58" t="s">
        <v>173</v>
      </c>
      <c r="H19" s="58" t="s">
        <v>174</v>
      </c>
      <c r="I19" s="58" t="s">
        <v>175</v>
      </c>
      <c r="J19" s="58" t="s">
        <v>176</v>
      </c>
      <c r="M19" s="58" t="s">
        <v>167</v>
      </c>
      <c r="N19" s="58" t="s">
        <v>168</v>
      </c>
      <c r="O19" s="58" t="s">
        <v>169</v>
      </c>
      <c r="P19" s="58" t="s">
        <v>170</v>
      </c>
      <c r="Q19" s="58" t="s">
        <v>171</v>
      </c>
      <c r="R19" s="58" t="s">
        <v>172</v>
      </c>
      <c r="S19" s="58" t="s">
        <v>173</v>
      </c>
      <c r="T19" s="58" t="s">
        <v>174</v>
      </c>
      <c r="U19" s="58" t="s">
        <v>175</v>
      </c>
      <c r="V19" s="58" t="s">
        <v>176</v>
      </c>
    </row>
    <row r="20" customFormat="false" ht="15" hidden="false" customHeight="false" outlineLevel="0" collapsed="false">
      <c r="A20" s="58" t="s">
        <v>177</v>
      </c>
      <c r="B20" s="20" t="s">
        <v>100</v>
      </c>
      <c r="C20" s="20" t="s">
        <v>178</v>
      </c>
      <c r="D20" s="20" t="s">
        <v>179</v>
      </c>
      <c r="E20" s="20" t="s">
        <v>180</v>
      </c>
      <c r="F20" s="20" t="s">
        <v>181</v>
      </c>
      <c r="G20" s="20" t="s">
        <v>182</v>
      </c>
      <c r="H20" s="20" t="s">
        <v>183</v>
      </c>
      <c r="I20" s="20" t="s">
        <v>184</v>
      </c>
      <c r="J20" s="20" t="s">
        <v>185</v>
      </c>
      <c r="M20" s="58" t="s">
        <v>177</v>
      </c>
      <c r="N20" s="39" t="n">
        <v>81</v>
      </c>
      <c r="O20" s="40" t="n">
        <v>80</v>
      </c>
      <c r="P20" s="38" t="n">
        <v>78</v>
      </c>
      <c r="Q20" s="40" t="n">
        <v>75</v>
      </c>
      <c r="R20" s="38" t="n">
        <v>71</v>
      </c>
      <c r="S20" s="40" t="n">
        <v>66</v>
      </c>
      <c r="T20" s="38" t="n">
        <v>60</v>
      </c>
      <c r="U20" s="40" t="n">
        <v>53</v>
      </c>
      <c r="V20" s="38" t="n">
        <v>45</v>
      </c>
    </row>
    <row r="21" customFormat="false" ht="15" hidden="false" customHeight="false" outlineLevel="0" collapsed="false">
      <c r="A21" s="58" t="s">
        <v>186</v>
      </c>
      <c r="B21" s="20" t="s">
        <v>187</v>
      </c>
      <c r="C21" s="20" t="s">
        <v>101</v>
      </c>
      <c r="D21" s="20" t="s">
        <v>188</v>
      </c>
      <c r="E21" s="20" t="s">
        <v>189</v>
      </c>
      <c r="F21" s="20" t="s">
        <v>190</v>
      </c>
      <c r="G21" s="20" t="s">
        <v>191</v>
      </c>
      <c r="H21" s="20" t="s">
        <v>192</v>
      </c>
      <c r="I21" s="20" t="s">
        <v>193</v>
      </c>
      <c r="J21" s="20" t="s">
        <v>194</v>
      </c>
      <c r="M21" s="58" t="s">
        <v>186</v>
      </c>
      <c r="N21" s="40" t="n">
        <v>79</v>
      </c>
      <c r="O21" s="38" t="n">
        <v>77</v>
      </c>
      <c r="P21" s="40" t="n">
        <v>74</v>
      </c>
      <c r="Q21" s="38" t="n">
        <v>70</v>
      </c>
      <c r="R21" s="40" t="n">
        <v>65</v>
      </c>
      <c r="S21" s="38" t="n">
        <v>59</v>
      </c>
      <c r="T21" s="40" t="n">
        <v>52</v>
      </c>
      <c r="U21" s="38" t="n">
        <v>44</v>
      </c>
      <c r="V21" s="40" t="n">
        <v>36</v>
      </c>
    </row>
    <row r="22" customFormat="false" ht="15" hidden="false" customHeight="false" outlineLevel="0" collapsed="false">
      <c r="A22" s="58" t="s">
        <v>195</v>
      </c>
      <c r="B22" s="20" t="s">
        <v>196</v>
      </c>
      <c r="C22" s="20" t="s">
        <v>197</v>
      </c>
      <c r="D22" s="20" t="s">
        <v>198</v>
      </c>
      <c r="E22" s="20" t="s">
        <v>199</v>
      </c>
      <c r="F22" s="20" t="s">
        <v>200</v>
      </c>
      <c r="G22" s="20" t="s">
        <v>201</v>
      </c>
      <c r="H22" s="20" t="s">
        <v>202</v>
      </c>
      <c r="I22" s="20" t="s">
        <v>203</v>
      </c>
      <c r="J22" s="20" t="s">
        <v>204</v>
      </c>
      <c r="M22" s="58" t="s">
        <v>195</v>
      </c>
      <c r="N22" s="38" t="n">
        <v>76</v>
      </c>
      <c r="O22" s="40" t="n">
        <v>73</v>
      </c>
      <c r="P22" s="38" t="n">
        <v>69</v>
      </c>
      <c r="Q22" s="40" t="n">
        <v>64</v>
      </c>
      <c r="R22" s="38" t="n">
        <v>58</v>
      </c>
      <c r="S22" s="40" t="n">
        <v>51</v>
      </c>
      <c r="T22" s="38" t="n">
        <v>43</v>
      </c>
      <c r="U22" s="40" t="n">
        <v>35</v>
      </c>
      <c r="V22" s="38" t="n">
        <v>28</v>
      </c>
    </row>
    <row r="23" customFormat="false" ht="15" hidden="false" customHeight="false" outlineLevel="0" collapsed="false">
      <c r="A23" s="58" t="s">
        <v>205</v>
      </c>
      <c r="B23" s="20" t="s">
        <v>206</v>
      </c>
      <c r="C23" s="20" t="s">
        <v>207</v>
      </c>
      <c r="D23" s="20" t="s">
        <v>208</v>
      </c>
      <c r="E23" s="20" t="s">
        <v>209</v>
      </c>
      <c r="F23" s="20" t="s">
        <v>210</v>
      </c>
      <c r="G23" s="20" t="s">
        <v>211</v>
      </c>
      <c r="H23" s="20" t="s">
        <v>212</v>
      </c>
      <c r="I23" s="20" t="s">
        <v>213</v>
      </c>
      <c r="J23" s="20" t="s">
        <v>214</v>
      </c>
      <c r="M23" s="58" t="s">
        <v>205</v>
      </c>
      <c r="N23" s="40" t="n">
        <v>72</v>
      </c>
      <c r="O23" s="38" t="n">
        <v>68</v>
      </c>
      <c r="P23" s="40" t="n">
        <v>63</v>
      </c>
      <c r="Q23" s="38" t="n">
        <v>57</v>
      </c>
      <c r="R23" s="40" t="n">
        <v>50</v>
      </c>
      <c r="S23" s="38" t="n">
        <v>42</v>
      </c>
      <c r="T23" s="40" t="n">
        <v>34</v>
      </c>
      <c r="U23" s="38" t="n">
        <v>27</v>
      </c>
      <c r="V23" s="40" t="n">
        <v>21</v>
      </c>
    </row>
    <row r="24" customFormat="false" ht="15" hidden="false" customHeight="false" outlineLevel="0" collapsed="false">
      <c r="A24" s="58" t="s">
        <v>215</v>
      </c>
      <c r="B24" s="20" t="s">
        <v>216</v>
      </c>
      <c r="C24" s="20" t="s">
        <v>217</v>
      </c>
      <c r="D24" s="20" t="s">
        <v>218</v>
      </c>
      <c r="E24" s="20" t="s">
        <v>219</v>
      </c>
      <c r="F24" s="20" t="s">
        <v>102</v>
      </c>
      <c r="G24" s="20" t="s">
        <v>220</v>
      </c>
      <c r="H24" s="20" t="s">
        <v>221</v>
      </c>
      <c r="I24" s="20" t="s">
        <v>107</v>
      </c>
      <c r="J24" s="20" t="s">
        <v>222</v>
      </c>
      <c r="M24" s="58" t="s">
        <v>215</v>
      </c>
      <c r="N24" s="39" t="n">
        <v>67</v>
      </c>
      <c r="O24" s="40" t="n">
        <v>62</v>
      </c>
      <c r="P24" s="39" t="n">
        <v>56</v>
      </c>
      <c r="Q24" s="39" t="n">
        <v>49</v>
      </c>
      <c r="R24" s="39" t="n">
        <v>41</v>
      </c>
      <c r="S24" s="39" t="n">
        <v>33</v>
      </c>
      <c r="T24" s="39" t="n">
        <v>26</v>
      </c>
      <c r="U24" s="40" t="n">
        <v>20</v>
      </c>
      <c r="V24" s="39" t="n">
        <v>15</v>
      </c>
    </row>
    <row r="25" customFormat="false" ht="15" hidden="false" customHeight="false" outlineLevel="0" collapsed="false">
      <c r="A25" s="58" t="s">
        <v>223</v>
      </c>
      <c r="B25" s="20" t="s">
        <v>224</v>
      </c>
      <c r="C25" s="20" t="s">
        <v>225</v>
      </c>
      <c r="D25" s="20" t="s">
        <v>226</v>
      </c>
      <c r="E25" s="20" t="s">
        <v>227</v>
      </c>
      <c r="F25" s="20" t="s">
        <v>228</v>
      </c>
      <c r="G25" s="20" t="s">
        <v>229</v>
      </c>
      <c r="H25" s="20" t="s">
        <v>230</v>
      </c>
      <c r="I25" s="20" t="s">
        <v>231</v>
      </c>
      <c r="J25" s="20" t="s">
        <v>232</v>
      </c>
      <c r="M25" s="58" t="s">
        <v>223</v>
      </c>
      <c r="N25" s="40" t="n">
        <v>61</v>
      </c>
      <c r="O25" s="38" t="n">
        <v>55</v>
      </c>
      <c r="P25" s="40" t="n">
        <v>48</v>
      </c>
      <c r="Q25" s="38" t="n">
        <v>40</v>
      </c>
      <c r="R25" s="40" t="n">
        <v>32</v>
      </c>
      <c r="S25" s="38" t="n">
        <v>25</v>
      </c>
      <c r="T25" s="40" t="n">
        <v>19</v>
      </c>
      <c r="U25" s="38" t="n">
        <v>14</v>
      </c>
      <c r="V25" s="40" t="n">
        <v>10</v>
      </c>
    </row>
    <row r="26" customFormat="false" ht="15" hidden="false" customHeight="false" outlineLevel="0" collapsed="false">
      <c r="A26" s="58" t="s">
        <v>233</v>
      </c>
      <c r="B26" s="20" t="s">
        <v>234</v>
      </c>
      <c r="C26" s="20" t="s">
        <v>235</v>
      </c>
      <c r="D26" s="20" t="s">
        <v>236</v>
      </c>
      <c r="E26" s="20" t="s">
        <v>237</v>
      </c>
      <c r="F26" s="20" t="s">
        <v>238</v>
      </c>
      <c r="G26" s="20" t="s">
        <v>239</v>
      </c>
      <c r="H26" s="20" t="s">
        <v>240</v>
      </c>
      <c r="I26" s="20" t="s">
        <v>241</v>
      </c>
      <c r="J26" s="20" t="s">
        <v>242</v>
      </c>
      <c r="M26" s="58" t="s">
        <v>233</v>
      </c>
      <c r="N26" s="38" t="n">
        <v>54</v>
      </c>
      <c r="O26" s="40" t="n">
        <v>47</v>
      </c>
      <c r="P26" s="38" t="n">
        <v>39</v>
      </c>
      <c r="Q26" s="40" t="n">
        <v>31</v>
      </c>
      <c r="R26" s="38" t="n">
        <v>24</v>
      </c>
      <c r="S26" s="40" t="n">
        <v>18</v>
      </c>
      <c r="T26" s="38" t="n">
        <v>13</v>
      </c>
      <c r="U26" s="40" t="n">
        <v>9</v>
      </c>
      <c r="V26" s="38" t="n">
        <v>6</v>
      </c>
    </row>
    <row r="27" customFormat="false" ht="15" hidden="false" customHeight="false" outlineLevel="0" collapsed="false">
      <c r="A27" s="58" t="s">
        <v>243</v>
      </c>
      <c r="B27" s="20" t="s">
        <v>244</v>
      </c>
      <c r="C27" s="20" t="s">
        <v>245</v>
      </c>
      <c r="D27" s="20" t="s">
        <v>246</v>
      </c>
      <c r="E27" s="20" t="s">
        <v>247</v>
      </c>
      <c r="F27" s="20" t="s">
        <v>103</v>
      </c>
      <c r="G27" s="20" t="s">
        <v>248</v>
      </c>
      <c r="H27" s="20" t="s">
        <v>249</v>
      </c>
      <c r="I27" s="20" t="s">
        <v>106</v>
      </c>
      <c r="J27" s="20" t="s">
        <v>108</v>
      </c>
      <c r="M27" s="58" t="s">
        <v>243</v>
      </c>
      <c r="N27" s="40" t="n">
        <v>46</v>
      </c>
      <c r="O27" s="38" t="n">
        <v>38</v>
      </c>
      <c r="P27" s="40" t="n">
        <v>30</v>
      </c>
      <c r="Q27" s="38" t="n">
        <v>23</v>
      </c>
      <c r="R27" s="40" t="n">
        <v>17</v>
      </c>
      <c r="S27" s="38" t="n">
        <v>12</v>
      </c>
      <c r="T27" s="40" t="n">
        <v>8</v>
      </c>
      <c r="U27" s="38" t="n">
        <v>5</v>
      </c>
      <c r="V27" s="40" t="n">
        <v>3</v>
      </c>
    </row>
    <row r="28" customFormat="false" ht="15" hidden="false" customHeight="false" outlineLevel="0" collapsed="false">
      <c r="A28" s="58" t="s">
        <v>250</v>
      </c>
      <c r="B28" s="20" t="s">
        <v>251</v>
      </c>
      <c r="C28" s="20" t="s">
        <v>252</v>
      </c>
      <c r="D28" s="20" t="s">
        <v>253</v>
      </c>
      <c r="E28" s="20" t="s">
        <v>254</v>
      </c>
      <c r="F28" s="20" t="s">
        <v>255</v>
      </c>
      <c r="G28" s="20" t="s">
        <v>256</v>
      </c>
      <c r="H28" s="20" t="s">
        <v>257</v>
      </c>
      <c r="I28" s="20" t="s">
        <v>105</v>
      </c>
      <c r="J28" s="20" t="s">
        <v>104</v>
      </c>
      <c r="M28" s="58" t="s">
        <v>250</v>
      </c>
      <c r="N28" s="38" t="n">
        <v>37</v>
      </c>
      <c r="O28" s="40" t="n">
        <v>29</v>
      </c>
      <c r="P28" s="38" t="n">
        <v>22</v>
      </c>
      <c r="Q28" s="40" t="n">
        <v>16</v>
      </c>
      <c r="R28" s="38" t="n">
        <v>11</v>
      </c>
      <c r="S28" s="40" t="n">
        <v>7</v>
      </c>
      <c r="T28" s="38" t="n">
        <v>4</v>
      </c>
      <c r="U28" s="40" t="n">
        <v>2</v>
      </c>
      <c r="V28" s="39" t="n">
        <v>1</v>
      </c>
    </row>
    <row r="31" customFormat="false" ht="17.35" hidden="false" customHeight="false" outlineLevel="0" collapsed="false">
      <c r="A31" s="13" t="s">
        <v>310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M31" s="13" t="s">
        <v>311</v>
      </c>
      <c r="N31" s="13"/>
      <c r="O31" s="13"/>
      <c r="P31" s="13"/>
      <c r="Q31" s="13"/>
      <c r="R31" s="13"/>
      <c r="S31" s="13"/>
      <c r="T31" s="13"/>
      <c r="U31" s="13"/>
      <c r="V31" s="13"/>
      <c r="W31" s="13"/>
    </row>
    <row r="33" customFormat="false" ht="17.35" hidden="false" customHeight="false" outlineLevel="0" collapsed="false">
      <c r="A33" s="58" t="s">
        <v>312</v>
      </c>
      <c r="B33" s="58" t="s">
        <v>168</v>
      </c>
      <c r="C33" s="58" t="s">
        <v>169</v>
      </c>
      <c r="D33" s="58" t="s">
        <v>170</v>
      </c>
      <c r="E33" s="58" t="s">
        <v>171</v>
      </c>
      <c r="F33" s="58" t="s">
        <v>172</v>
      </c>
      <c r="G33" s="58" t="s">
        <v>173</v>
      </c>
      <c r="H33" s="58" t="s">
        <v>174</v>
      </c>
      <c r="I33" s="58" t="s">
        <v>175</v>
      </c>
      <c r="J33" s="58" t="s">
        <v>176</v>
      </c>
      <c r="K33" s="58" t="s">
        <v>270</v>
      </c>
      <c r="M33" s="13" t="s">
        <v>313</v>
      </c>
      <c r="N33" s="13"/>
      <c r="O33" s="13"/>
      <c r="P33" s="13"/>
      <c r="Q33" s="13"/>
      <c r="R33" s="13"/>
      <c r="S33" s="13"/>
      <c r="T33" s="13"/>
      <c r="U33" s="13"/>
      <c r="V33" s="13"/>
      <c r="W33" s="13"/>
    </row>
    <row r="34" customFormat="false" ht="15" hidden="false" customHeight="false" outlineLevel="0" collapsed="false">
      <c r="A34" s="58" t="s">
        <v>177</v>
      </c>
      <c r="B34" s="67" t="n">
        <v>6</v>
      </c>
      <c r="C34" s="67"/>
      <c r="D34" s="67"/>
      <c r="E34" s="62"/>
      <c r="F34" s="62"/>
      <c r="G34" s="62"/>
      <c r="H34" s="62"/>
      <c r="I34" s="62"/>
      <c r="J34" s="62"/>
      <c r="K34" s="68" t="n">
        <v>6</v>
      </c>
      <c r="M34" s="58" t="n">
        <v>77</v>
      </c>
      <c r="N34" s="62" t="s">
        <v>284</v>
      </c>
      <c r="O34" s="62" t="s">
        <v>288</v>
      </c>
      <c r="P34" s="62" t="s">
        <v>295</v>
      </c>
      <c r="Q34" s="62" t="s">
        <v>302</v>
      </c>
      <c r="R34" s="62" t="s">
        <v>306</v>
      </c>
    </row>
    <row r="35" customFormat="false" ht="15" hidden="false" customHeight="false" outlineLevel="0" collapsed="false">
      <c r="A35" s="58" t="s">
        <v>186</v>
      </c>
      <c r="B35" s="67"/>
      <c r="C35" s="67" t="n">
        <v>5</v>
      </c>
      <c r="D35" s="67"/>
      <c r="E35" s="62"/>
      <c r="F35" s="62"/>
      <c r="G35" s="62"/>
      <c r="H35" s="62"/>
      <c r="I35" s="62"/>
      <c r="J35" s="62"/>
      <c r="K35" s="68" t="n">
        <v>5</v>
      </c>
      <c r="M35" s="58" t="s">
        <v>312</v>
      </c>
      <c r="N35" s="58" t="s">
        <v>168</v>
      </c>
      <c r="O35" s="58" t="s">
        <v>171</v>
      </c>
      <c r="P35" s="58" t="s">
        <v>174</v>
      </c>
      <c r="Q35" s="58" t="s">
        <v>169</v>
      </c>
      <c r="R35" s="58" t="s">
        <v>172</v>
      </c>
      <c r="S35" s="58" t="s">
        <v>175</v>
      </c>
      <c r="T35" s="58" t="s">
        <v>170</v>
      </c>
      <c r="U35" s="58" t="s">
        <v>173</v>
      </c>
      <c r="V35" s="58" t="s">
        <v>176</v>
      </c>
      <c r="W35" s="58" t="s">
        <v>270</v>
      </c>
    </row>
    <row r="36" customFormat="false" ht="15" hidden="false" customHeight="false" outlineLevel="0" collapsed="false">
      <c r="A36" s="58" t="s">
        <v>195</v>
      </c>
      <c r="B36" s="67"/>
      <c r="C36" s="67"/>
      <c r="D36" s="67"/>
      <c r="E36" s="62"/>
      <c r="F36" s="62"/>
      <c r="G36" s="62"/>
      <c r="H36" s="62"/>
      <c r="I36" s="62"/>
      <c r="J36" s="62"/>
      <c r="K36" s="68"/>
      <c r="M36" s="58" t="s">
        <v>177</v>
      </c>
      <c r="N36" s="67" t="n">
        <v>6</v>
      </c>
      <c r="O36" s="67"/>
      <c r="P36" s="67"/>
      <c r="Q36" s="62"/>
      <c r="R36" s="62"/>
      <c r="S36" s="62"/>
      <c r="T36" s="62"/>
      <c r="U36" s="62"/>
      <c r="V36" s="62"/>
      <c r="W36" s="68" t="n">
        <v>6</v>
      </c>
    </row>
    <row r="37" customFormat="false" ht="15" hidden="false" customHeight="false" outlineLevel="0" collapsed="false">
      <c r="A37" s="58" t="s">
        <v>205</v>
      </c>
      <c r="B37" s="62"/>
      <c r="C37" s="62"/>
      <c r="D37" s="62"/>
      <c r="E37" s="69"/>
      <c r="F37" s="69"/>
      <c r="G37" s="69"/>
      <c r="H37" s="70"/>
      <c r="I37" s="70"/>
      <c r="J37" s="70"/>
      <c r="K37" s="68"/>
      <c r="M37" s="58" t="s">
        <v>205</v>
      </c>
      <c r="N37" s="67"/>
      <c r="O37" s="67"/>
      <c r="P37" s="67"/>
      <c r="Q37" s="62"/>
      <c r="R37" s="62"/>
      <c r="S37" s="62"/>
      <c r="T37" s="62"/>
      <c r="U37" s="62"/>
      <c r="V37" s="62"/>
      <c r="W37" s="68"/>
    </row>
    <row r="38" customFormat="false" ht="15" hidden="false" customHeight="false" outlineLevel="0" collapsed="false">
      <c r="A38" s="58" t="s">
        <v>215</v>
      </c>
      <c r="B38" s="62"/>
      <c r="C38" s="62"/>
      <c r="D38" s="62"/>
      <c r="E38" s="69"/>
      <c r="F38" s="69" t="n">
        <v>2</v>
      </c>
      <c r="G38" s="69"/>
      <c r="H38" s="70"/>
      <c r="I38" s="70" t="n">
        <v>2</v>
      </c>
      <c r="J38" s="70"/>
      <c r="K38" s="68" t="n">
        <v>4</v>
      </c>
      <c r="M38" s="58" t="s">
        <v>233</v>
      </c>
      <c r="N38" s="67"/>
      <c r="O38" s="67"/>
      <c r="P38" s="67"/>
      <c r="Q38" s="62"/>
      <c r="R38" s="62"/>
      <c r="S38" s="62"/>
      <c r="T38" s="62"/>
      <c r="U38" s="62"/>
      <c r="V38" s="62"/>
      <c r="W38" s="68"/>
    </row>
    <row r="39" customFormat="false" ht="15" hidden="false" customHeight="false" outlineLevel="0" collapsed="false">
      <c r="A39" s="58" t="s">
        <v>223</v>
      </c>
      <c r="B39" s="62"/>
      <c r="C39" s="62"/>
      <c r="D39" s="62"/>
      <c r="E39" s="69"/>
      <c r="F39" s="69"/>
      <c r="G39" s="69"/>
      <c r="H39" s="70"/>
      <c r="I39" s="70"/>
      <c r="J39" s="70"/>
      <c r="K39" s="68"/>
      <c r="M39" s="58" t="s">
        <v>186</v>
      </c>
      <c r="N39" s="62"/>
      <c r="O39" s="62"/>
      <c r="P39" s="62"/>
      <c r="Q39" s="69" t="n">
        <v>5</v>
      </c>
      <c r="R39" s="69"/>
      <c r="S39" s="69"/>
      <c r="T39" s="70"/>
      <c r="U39" s="70"/>
      <c r="V39" s="70"/>
      <c r="W39" s="68" t="n">
        <v>5</v>
      </c>
    </row>
    <row r="40" customFormat="false" ht="15" hidden="false" customHeight="false" outlineLevel="0" collapsed="false">
      <c r="A40" s="58" t="s">
        <v>233</v>
      </c>
      <c r="B40" s="69"/>
      <c r="C40" s="69"/>
      <c r="D40" s="69"/>
      <c r="E40" s="70"/>
      <c r="F40" s="70"/>
      <c r="G40" s="70"/>
      <c r="H40" s="62"/>
      <c r="I40" s="62"/>
      <c r="J40" s="62"/>
      <c r="K40" s="68"/>
      <c r="M40" s="58" t="s">
        <v>215</v>
      </c>
      <c r="N40" s="62"/>
      <c r="O40" s="62"/>
      <c r="P40" s="62"/>
      <c r="Q40" s="69"/>
      <c r="R40" s="69" t="n">
        <v>2</v>
      </c>
      <c r="S40" s="69" t="n">
        <v>2</v>
      </c>
      <c r="T40" s="70"/>
      <c r="U40" s="70"/>
      <c r="V40" s="70"/>
      <c r="W40" s="68" t="n">
        <v>4</v>
      </c>
    </row>
    <row r="41" customFormat="false" ht="15" hidden="false" customHeight="false" outlineLevel="0" collapsed="false">
      <c r="A41" s="58" t="s">
        <v>243</v>
      </c>
      <c r="B41" s="69"/>
      <c r="C41" s="69"/>
      <c r="D41" s="69"/>
      <c r="E41" s="70"/>
      <c r="F41" s="70" t="n">
        <v>2</v>
      </c>
      <c r="G41" s="70"/>
      <c r="H41" s="62"/>
      <c r="I41" s="62" t="n">
        <v>2</v>
      </c>
      <c r="J41" s="62" t="n">
        <v>1</v>
      </c>
      <c r="K41" s="68" t="n">
        <v>5</v>
      </c>
      <c r="M41" s="58" t="s">
        <v>243</v>
      </c>
      <c r="N41" s="62"/>
      <c r="O41" s="62"/>
      <c r="P41" s="62"/>
      <c r="Q41" s="69"/>
      <c r="R41" s="69" t="n">
        <v>2</v>
      </c>
      <c r="S41" s="69" t="n">
        <v>2</v>
      </c>
      <c r="T41" s="70"/>
      <c r="U41" s="70"/>
      <c r="V41" s="70" t="n">
        <v>1</v>
      </c>
      <c r="W41" s="68" t="n">
        <v>5</v>
      </c>
    </row>
    <row r="42" customFormat="false" ht="15" hidden="false" customHeight="false" outlineLevel="0" collapsed="false">
      <c r="A42" s="58" t="s">
        <v>250</v>
      </c>
      <c r="B42" s="69"/>
      <c r="C42" s="69"/>
      <c r="D42" s="69"/>
      <c r="E42" s="70"/>
      <c r="F42" s="70"/>
      <c r="G42" s="70"/>
      <c r="H42" s="62"/>
      <c r="I42" s="62" t="n">
        <v>1</v>
      </c>
      <c r="J42" s="62" t="n">
        <v>4</v>
      </c>
      <c r="K42" s="68" t="n">
        <v>5</v>
      </c>
      <c r="M42" s="58" t="s">
        <v>195</v>
      </c>
      <c r="N42" s="69"/>
      <c r="O42" s="69"/>
      <c r="P42" s="69"/>
      <c r="Q42" s="70"/>
      <c r="R42" s="70"/>
      <c r="S42" s="70"/>
      <c r="T42" s="62"/>
      <c r="U42" s="62"/>
      <c r="V42" s="62"/>
      <c r="W42" s="68"/>
    </row>
    <row r="43" customFormat="false" ht="15" hidden="false" customHeight="false" outlineLevel="0" collapsed="false">
      <c r="A43" s="58" t="s">
        <v>270</v>
      </c>
      <c r="B43" s="68" t="n">
        <v>6</v>
      </c>
      <c r="C43" s="68" t="n">
        <v>5</v>
      </c>
      <c r="D43" s="68"/>
      <c r="E43" s="68"/>
      <c r="F43" s="68" t="n">
        <v>4</v>
      </c>
      <c r="G43" s="68"/>
      <c r="H43" s="68"/>
      <c r="I43" s="68" t="n">
        <v>5</v>
      </c>
      <c r="J43" s="68" t="n">
        <v>5</v>
      </c>
      <c r="K43" s="71" t="n">
        <v>25</v>
      </c>
      <c r="M43" s="58" t="s">
        <v>223</v>
      </c>
      <c r="N43" s="69"/>
      <c r="O43" s="69"/>
      <c r="P43" s="69"/>
      <c r="Q43" s="70"/>
      <c r="R43" s="70"/>
      <c r="S43" s="70"/>
      <c r="T43" s="62"/>
      <c r="U43" s="62"/>
      <c r="V43" s="62"/>
      <c r="W43" s="68"/>
    </row>
    <row r="44" customFormat="false" ht="15" hidden="false" customHeight="false" outlineLevel="0" collapsed="false">
      <c r="M44" s="58" t="s">
        <v>250</v>
      </c>
      <c r="N44" s="69"/>
      <c r="O44" s="69"/>
      <c r="P44" s="69"/>
      <c r="Q44" s="70"/>
      <c r="R44" s="70"/>
      <c r="S44" s="70" t="n">
        <v>1</v>
      </c>
      <c r="T44" s="62"/>
      <c r="U44" s="62"/>
      <c r="V44" s="62" t="n">
        <v>4</v>
      </c>
      <c r="W44" s="68" t="n">
        <v>5</v>
      </c>
    </row>
    <row r="45" customFormat="false" ht="17.35" hidden="false" customHeight="false" outlineLevel="0" collapsed="false">
      <c r="A45" s="13" t="s">
        <v>314</v>
      </c>
      <c r="B45" s="13"/>
      <c r="C45" s="13"/>
      <c r="D45" s="13"/>
      <c r="E45" s="13"/>
      <c r="M45" s="58" t="s">
        <v>270</v>
      </c>
      <c r="N45" s="68" t="n">
        <v>6</v>
      </c>
      <c r="O45" s="68"/>
      <c r="P45" s="68"/>
      <c r="Q45" s="68" t="n">
        <v>5</v>
      </c>
      <c r="R45" s="68" t="n">
        <v>4</v>
      </c>
      <c r="S45" s="68" t="n">
        <v>5</v>
      </c>
      <c r="T45" s="68"/>
      <c r="U45" s="68"/>
      <c r="V45" s="68" t="n">
        <v>5</v>
      </c>
      <c r="W45" s="71" t="n">
        <v>25</v>
      </c>
    </row>
    <row r="47" customFormat="false" ht="17.35" hidden="false" customHeight="false" outlineLevel="0" collapsed="false">
      <c r="A47" s="58" t="s">
        <v>271</v>
      </c>
      <c r="B47" s="58" t="s">
        <v>169</v>
      </c>
      <c r="C47" s="58" t="s">
        <v>172</v>
      </c>
      <c r="D47" s="58" t="s">
        <v>175</v>
      </c>
      <c r="E47" s="58" t="s">
        <v>270</v>
      </c>
      <c r="M47" s="13" t="s">
        <v>315</v>
      </c>
      <c r="N47" s="13"/>
      <c r="O47" s="13"/>
      <c r="P47" s="13"/>
      <c r="Q47" s="13"/>
    </row>
    <row r="48" customFormat="false" ht="15" hidden="false" customHeight="false" outlineLevel="0" collapsed="false">
      <c r="A48" s="58" t="s">
        <v>186</v>
      </c>
      <c r="B48" s="67" t="n">
        <v>11</v>
      </c>
      <c r="C48" s="62"/>
      <c r="D48" s="62"/>
      <c r="E48" s="71" t="n">
        <v>11</v>
      </c>
    </row>
    <row r="49" customFormat="false" ht="15" hidden="false" customHeight="false" outlineLevel="0" collapsed="false">
      <c r="A49" s="58" t="s">
        <v>215</v>
      </c>
      <c r="B49" s="62"/>
      <c r="C49" s="69" t="n">
        <v>2</v>
      </c>
      <c r="D49" s="70" t="n">
        <v>2</v>
      </c>
      <c r="E49" s="71" t="n">
        <v>4</v>
      </c>
      <c r="M49" s="58" t="s">
        <v>271</v>
      </c>
      <c r="N49" s="58" t="s">
        <v>169</v>
      </c>
      <c r="O49" s="58" t="s">
        <v>172</v>
      </c>
      <c r="P49" s="58" t="s">
        <v>175</v>
      </c>
      <c r="Q49" s="58" t="s">
        <v>270</v>
      </c>
    </row>
    <row r="50" customFormat="false" ht="15" hidden="false" customHeight="false" outlineLevel="0" collapsed="false">
      <c r="A50" s="58" t="s">
        <v>243</v>
      </c>
      <c r="B50" s="69"/>
      <c r="C50" s="70" t="n">
        <v>2</v>
      </c>
      <c r="D50" s="62" t="n">
        <v>8</v>
      </c>
      <c r="E50" s="71" t="n">
        <v>10</v>
      </c>
      <c r="M50" s="58" t="s">
        <v>186</v>
      </c>
      <c r="N50" s="67" t="n">
        <v>6</v>
      </c>
      <c r="O50" s="62"/>
      <c r="P50" s="62"/>
      <c r="Q50" s="71" t="n">
        <v>6</v>
      </c>
    </row>
    <row r="51" customFormat="false" ht="15" hidden="false" customHeight="false" outlineLevel="0" collapsed="false">
      <c r="A51" s="58" t="s">
        <v>270</v>
      </c>
      <c r="B51" s="71" t="n">
        <v>11</v>
      </c>
      <c r="C51" s="71" t="n">
        <v>4</v>
      </c>
      <c r="D51" s="71" t="n">
        <v>10</v>
      </c>
      <c r="E51" s="71" t="n">
        <v>25</v>
      </c>
      <c r="M51" s="58" t="s">
        <v>215</v>
      </c>
      <c r="N51" s="62"/>
      <c r="O51" s="69" t="n">
        <v>13</v>
      </c>
      <c r="P51" s="70" t="n">
        <v>1</v>
      </c>
      <c r="Q51" s="71" t="n">
        <v>14</v>
      </c>
    </row>
    <row r="52" customFormat="false" ht="15" hidden="false" customHeight="false" outlineLevel="0" collapsed="false">
      <c r="M52" s="58" t="s">
        <v>243</v>
      </c>
      <c r="N52" s="69"/>
      <c r="O52" s="70" t="n">
        <v>1</v>
      </c>
      <c r="P52" s="62" t="n">
        <v>4</v>
      </c>
      <c r="Q52" s="71" t="n">
        <v>5</v>
      </c>
    </row>
    <row r="53" customFormat="false" ht="15" hidden="false" customHeight="false" outlineLevel="0" collapsed="false">
      <c r="G53" s="58" t="s">
        <v>262</v>
      </c>
      <c r="H53" s="58" t="s">
        <v>169</v>
      </c>
      <c r="I53" s="58" t="s">
        <v>172</v>
      </c>
      <c r="J53" s="58" t="s">
        <v>175</v>
      </c>
      <c r="K53" s="58" t="s">
        <v>270</v>
      </c>
      <c r="M53" s="58" t="s">
        <v>270</v>
      </c>
      <c r="N53" s="71" t="n">
        <v>6</v>
      </c>
      <c r="O53" s="71" t="n">
        <v>14</v>
      </c>
      <c r="P53" s="71" t="n">
        <v>5</v>
      </c>
      <c r="Q53" s="71" t="n">
        <v>25</v>
      </c>
    </row>
    <row r="54" customFormat="false" ht="15" hidden="false" customHeight="false" outlineLevel="0" collapsed="false">
      <c r="G54" s="58" t="s">
        <v>177</v>
      </c>
      <c r="H54" s="72" t="n">
        <v>44</v>
      </c>
      <c r="I54" s="73" t="s">
        <v>316</v>
      </c>
      <c r="J54" s="73" t="s">
        <v>316</v>
      </c>
      <c r="K54" s="74" t="n">
        <v>44</v>
      </c>
    </row>
    <row r="55" customFormat="false" ht="15" hidden="false" customHeight="false" outlineLevel="0" collapsed="false">
      <c r="G55" s="58" t="s">
        <v>215</v>
      </c>
      <c r="H55" s="73" t="s">
        <v>316</v>
      </c>
      <c r="I55" s="75" t="n">
        <v>8</v>
      </c>
      <c r="J55" s="76" t="n">
        <v>8</v>
      </c>
      <c r="K55" s="74" t="n">
        <v>16</v>
      </c>
      <c r="S55" s="58" t="s">
        <v>262</v>
      </c>
      <c r="T55" s="58" t="s">
        <v>169</v>
      </c>
      <c r="U55" s="58" t="s">
        <v>172</v>
      </c>
      <c r="V55" s="58" t="s">
        <v>175</v>
      </c>
      <c r="W55" s="58" t="s">
        <v>270</v>
      </c>
    </row>
    <row r="56" customFormat="false" ht="15" hidden="false" customHeight="false" outlineLevel="0" collapsed="false">
      <c r="G56" s="58" t="s">
        <v>243</v>
      </c>
      <c r="H56" s="75" t="s">
        <v>316</v>
      </c>
      <c r="I56" s="76" t="n">
        <v>8</v>
      </c>
      <c r="J56" s="73" t="n">
        <v>32</v>
      </c>
      <c r="K56" s="74" t="n">
        <v>40</v>
      </c>
      <c r="S56" s="58" t="s">
        <v>177</v>
      </c>
      <c r="T56" s="72" t="n">
        <v>24</v>
      </c>
      <c r="U56" s="73" t="s">
        <v>316</v>
      </c>
      <c r="V56" s="73" t="s">
        <v>316</v>
      </c>
      <c r="W56" s="74" t="n">
        <v>24</v>
      </c>
    </row>
    <row r="57" customFormat="false" ht="15" hidden="false" customHeight="false" outlineLevel="0" collapsed="false">
      <c r="G57" s="58" t="s">
        <v>270</v>
      </c>
      <c r="H57" s="74" t="n">
        <v>44</v>
      </c>
      <c r="I57" s="74" t="n">
        <v>16</v>
      </c>
      <c r="J57" s="74" t="n">
        <v>40</v>
      </c>
      <c r="K57" s="77" t="n">
        <v>100</v>
      </c>
      <c r="S57" s="58" t="s">
        <v>215</v>
      </c>
      <c r="T57" s="73" t="s">
        <v>316</v>
      </c>
      <c r="U57" s="75" t="n">
        <v>52</v>
      </c>
      <c r="V57" s="76" t="n">
        <v>4</v>
      </c>
      <c r="W57" s="74" t="n">
        <v>56</v>
      </c>
    </row>
    <row r="58" customFormat="false" ht="15" hidden="false" customHeight="false" outlineLevel="0" collapsed="false">
      <c r="S58" s="58" t="s">
        <v>243</v>
      </c>
      <c r="T58" s="75" t="s">
        <v>316</v>
      </c>
      <c r="U58" s="76" t="n">
        <v>4</v>
      </c>
      <c r="V58" s="73" t="n">
        <v>16</v>
      </c>
      <c r="W58" s="74" t="n">
        <v>20</v>
      </c>
    </row>
    <row r="59" customFormat="false" ht="15" hidden="false" customHeight="false" outlineLevel="0" collapsed="false">
      <c r="S59" s="58" t="s">
        <v>270</v>
      </c>
      <c r="T59" s="74" t="n">
        <v>24</v>
      </c>
      <c r="U59" s="74" t="n">
        <v>56</v>
      </c>
      <c r="V59" s="74" t="n">
        <v>20</v>
      </c>
      <c r="W59" s="77" t="n">
        <v>100</v>
      </c>
    </row>
    <row r="61" customFormat="false" ht="17.35" hidden="false" customHeight="false" outlineLevel="0" collapsed="false">
      <c r="A61" s="13" t="s">
        <v>317</v>
      </c>
      <c r="B61" s="13"/>
      <c r="C61" s="13"/>
      <c r="D61" s="13"/>
      <c r="E61" s="13"/>
      <c r="F61" s="13"/>
      <c r="G61" s="13"/>
      <c r="H61" s="13"/>
      <c r="I61" s="13"/>
      <c r="J61" s="13"/>
      <c r="K61" s="13"/>
      <c r="N61" s="13" t="s">
        <v>318</v>
      </c>
      <c r="O61" s="13"/>
      <c r="P61" s="13"/>
      <c r="Q61" s="13"/>
      <c r="R61" s="13"/>
      <c r="S61" s="13"/>
      <c r="T61" s="13"/>
      <c r="U61" s="13"/>
      <c r="V61" s="13"/>
      <c r="W61" s="13"/>
      <c r="X61" s="13"/>
    </row>
    <row r="63" customFormat="false" ht="15" hidden="false" customHeight="false" outlineLevel="0" collapsed="false">
      <c r="A63" s="58" t="s">
        <v>312</v>
      </c>
      <c r="B63" s="58" t="s">
        <v>168</v>
      </c>
      <c r="C63" s="58" t="s">
        <v>169</v>
      </c>
      <c r="D63" s="58" t="s">
        <v>170</v>
      </c>
      <c r="E63" s="58" t="s">
        <v>171</v>
      </c>
      <c r="F63" s="58" t="s">
        <v>172</v>
      </c>
      <c r="G63" s="58" t="s">
        <v>173</v>
      </c>
      <c r="H63" s="58" t="s">
        <v>174</v>
      </c>
      <c r="I63" s="58" t="s">
        <v>175</v>
      </c>
      <c r="J63" s="58" t="s">
        <v>176</v>
      </c>
      <c r="K63" s="58" t="s">
        <v>319</v>
      </c>
      <c r="N63" s="58" t="s">
        <v>312</v>
      </c>
      <c r="O63" s="58" t="s">
        <v>168</v>
      </c>
      <c r="P63" s="58" t="s">
        <v>171</v>
      </c>
      <c r="Q63" s="58" t="s">
        <v>174</v>
      </c>
      <c r="R63" s="58" t="s">
        <v>169</v>
      </c>
      <c r="S63" s="58" t="s">
        <v>172</v>
      </c>
      <c r="T63" s="58" t="s">
        <v>175</v>
      </c>
      <c r="U63" s="58" t="s">
        <v>170</v>
      </c>
      <c r="V63" s="58" t="s">
        <v>173</v>
      </c>
      <c r="W63" s="58" t="s">
        <v>176</v>
      </c>
      <c r="X63" s="58" t="s">
        <v>319</v>
      </c>
    </row>
    <row r="64" customFormat="false" ht="15" hidden="false" customHeight="false" outlineLevel="0" collapsed="false">
      <c r="A64" s="58" t="s">
        <v>177</v>
      </c>
      <c r="B64" s="78" t="n">
        <v>3.7</v>
      </c>
      <c r="C64" s="67"/>
      <c r="D64" s="67"/>
      <c r="E64" s="62"/>
      <c r="F64" s="62"/>
      <c r="G64" s="62"/>
      <c r="H64" s="62"/>
      <c r="I64" s="62"/>
      <c r="J64" s="62"/>
      <c r="K64" s="79" t="n">
        <v>0.74</v>
      </c>
      <c r="N64" s="58" t="s">
        <v>177</v>
      </c>
      <c r="O64" s="78" t="n">
        <v>3.7</v>
      </c>
      <c r="P64" s="67"/>
      <c r="Q64" s="67"/>
      <c r="R64" s="62"/>
      <c r="S64" s="62"/>
      <c r="T64" s="62"/>
      <c r="U64" s="62"/>
      <c r="V64" s="62"/>
      <c r="W64" s="62"/>
      <c r="X64" s="79" t="n">
        <v>0.74</v>
      </c>
    </row>
    <row r="65" customFormat="false" ht="15" hidden="false" customHeight="false" outlineLevel="0" collapsed="false">
      <c r="A65" s="58" t="s">
        <v>186</v>
      </c>
      <c r="B65" s="67"/>
      <c r="C65" s="78" t="n">
        <v>1.26</v>
      </c>
      <c r="D65" s="67"/>
      <c r="E65" s="62"/>
      <c r="F65" s="62"/>
      <c r="G65" s="62"/>
      <c r="H65" s="62"/>
      <c r="I65" s="62"/>
      <c r="J65" s="62"/>
      <c r="K65" s="79" t="n">
        <v>0.252</v>
      </c>
      <c r="N65" s="58" t="s">
        <v>205</v>
      </c>
      <c r="O65" s="67"/>
      <c r="P65" s="67"/>
      <c r="Q65" s="67"/>
      <c r="R65" s="62"/>
      <c r="S65" s="62"/>
      <c r="T65" s="62"/>
      <c r="U65" s="62"/>
      <c r="V65" s="62"/>
      <c r="W65" s="62"/>
      <c r="X65" s="79"/>
    </row>
    <row r="66" customFormat="false" ht="15" hidden="false" customHeight="false" outlineLevel="0" collapsed="false">
      <c r="A66" s="58" t="s">
        <v>195</v>
      </c>
      <c r="B66" s="67"/>
      <c r="C66" s="67"/>
      <c r="D66" s="67"/>
      <c r="E66" s="62"/>
      <c r="F66" s="62"/>
      <c r="G66" s="62"/>
      <c r="H66" s="62"/>
      <c r="I66" s="62"/>
      <c r="J66" s="62"/>
      <c r="K66" s="79"/>
      <c r="N66" s="58" t="s">
        <v>233</v>
      </c>
      <c r="O66" s="67"/>
      <c r="P66" s="67"/>
      <c r="Q66" s="67"/>
      <c r="R66" s="62"/>
      <c r="S66" s="62"/>
      <c r="T66" s="62"/>
      <c r="U66" s="62"/>
      <c r="V66" s="62"/>
      <c r="W66" s="62"/>
      <c r="X66" s="79"/>
    </row>
    <row r="67" customFormat="false" ht="15" hidden="false" customHeight="false" outlineLevel="0" collapsed="false">
      <c r="A67" s="58" t="s">
        <v>205</v>
      </c>
      <c r="B67" s="62"/>
      <c r="C67" s="62"/>
      <c r="D67" s="62"/>
      <c r="E67" s="69"/>
      <c r="F67" s="69"/>
      <c r="G67" s="69"/>
      <c r="H67" s="70"/>
      <c r="I67" s="70"/>
      <c r="J67" s="70"/>
      <c r="K67" s="79"/>
      <c r="N67" s="58" t="s">
        <v>186</v>
      </c>
      <c r="O67" s="62"/>
      <c r="P67" s="62"/>
      <c r="Q67" s="62"/>
      <c r="R67" s="80" t="n">
        <v>1.26</v>
      </c>
      <c r="S67" s="69"/>
      <c r="T67" s="69"/>
      <c r="U67" s="70"/>
      <c r="V67" s="70"/>
      <c r="W67" s="70"/>
      <c r="X67" s="79" t="n">
        <v>0.252</v>
      </c>
    </row>
    <row r="68" customFormat="false" ht="15" hidden="false" customHeight="false" outlineLevel="0" collapsed="false">
      <c r="A68" s="58" t="s">
        <v>215</v>
      </c>
      <c r="B68" s="62"/>
      <c r="C68" s="62"/>
      <c r="D68" s="62"/>
      <c r="E68" s="69"/>
      <c r="F68" s="80" t="n">
        <v>0</v>
      </c>
      <c r="G68" s="69"/>
      <c r="H68" s="70"/>
      <c r="I68" s="81" t="n">
        <v>-0.63</v>
      </c>
      <c r="J68" s="70"/>
      <c r="K68" s="79" t="n">
        <v>-0.126</v>
      </c>
      <c r="N68" s="58" t="s">
        <v>215</v>
      </c>
      <c r="O68" s="62"/>
      <c r="P68" s="62"/>
      <c r="Q68" s="62"/>
      <c r="R68" s="69"/>
      <c r="S68" s="80" t="n">
        <v>0</v>
      </c>
      <c r="T68" s="80" t="n">
        <v>-0.63</v>
      </c>
      <c r="U68" s="70"/>
      <c r="V68" s="70"/>
      <c r="W68" s="70"/>
      <c r="X68" s="79" t="n">
        <v>-0.126</v>
      </c>
    </row>
    <row r="69" customFormat="false" ht="15" hidden="false" customHeight="false" outlineLevel="0" collapsed="false">
      <c r="A69" s="58" t="s">
        <v>223</v>
      </c>
      <c r="B69" s="62"/>
      <c r="C69" s="62"/>
      <c r="D69" s="62"/>
      <c r="E69" s="69"/>
      <c r="F69" s="69"/>
      <c r="G69" s="69"/>
      <c r="H69" s="70"/>
      <c r="I69" s="70"/>
      <c r="J69" s="70"/>
      <c r="K69" s="79"/>
      <c r="N69" s="58" t="s">
        <v>243</v>
      </c>
      <c r="O69" s="62"/>
      <c r="P69" s="62"/>
      <c r="Q69" s="62"/>
      <c r="R69" s="69"/>
      <c r="S69" s="80" t="n">
        <v>-0.71</v>
      </c>
      <c r="T69" s="80" t="n">
        <v>-1.26</v>
      </c>
      <c r="U69" s="70"/>
      <c r="V69" s="70"/>
      <c r="W69" s="81" t="n">
        <v>-2.45</v>
      </c>
      <c r="X69" s="79" t="n">
        <v>-0.884</v>
      </c>
    </row>
    <row r="70" customFormat="false" ht="15" hidden="false" customHeight="false" outlineLevel="0" collapsed="false">
      <c r="A70" s="58" t="s">
        <v>233</v>
      </c>
      <c r="B70" s="69"/>
      <c r="C70" s="69"/>
      <c r="D70" s="69"/>
      <c r="E70" s="70"/>
      <c r="F70" s="70"/>
      <c r="G70" s="70"/>
      <c r="H70" s="62"/>
      <c r="I70" s="62"/>
      <c r="J70" s="62"/>
      <c r="K70" s="79"/>
      <c r="N70" s="58" t="s">
        <v>195</v>
      </c>
      <c r="O70" s="69"/>
      <c r="P70" s="69"/>
      <c r="Q70" s="69"/>
      <c r="R70" s="70"/>
      <c r="S70" s="70"/>
      <c r="T70" s="70"/>
      <c r="U70" s="62"/>
      <c r="V70" s="62"/>
      <c r="W70" s="62"/>
      <c r="X70" s="79"/>
    </row>
    <row r="71" customFormat="false" ht="15" hidden="false" customHeight="false" outlineLevel="0" collapsed="false">
      <c r="A71" s="58" t="s">
        <v>243</v>
      </c>
      <c r="B71" s="69"/>
      <c r="C71" s="69"/>
      <c r="D71" s="69"/>
      <c r="E71" s="70"/>
      <c r="F71" s="81" t="n">
        <v>-0.71</v>
      </c>
      <c r="G71" s="70"/>
      <c r="H71" s="62"/>
      <c r="I71" s="36" t="n">
        <v>-1.26</v>
      </c>
      <c r="J71" s="36" t="n">
        <v>-2.45</v>
      </c>
      <c r="K71" s="79" t="n">
        <v>-0.884</v>
      </c>
      <c r="N71" s="58" t="s">
        <v>223</v>
      </c>
      <c r="O71" s="69"/>
      <c r="P71" s="69"/>
      <c r="Q71" s="69"/>
      <c r="R71" s="70"/>
      <c r="S71" s="70"/>
      <c r="T71" s="70"/>
      <c r="U71" s="62"/>
      <c r="V71" s="62"/>
      <c r="W71" s="62"/>
      <c r="X71" s="79"/>
    </row>
    <row r="72" customFormat="false" ht="15" hidden="false" customHeight="false" outlineLevel="0" collapsed="false">
      <c r="A72" s="58" t="s">
        <v>250</v>
      </c>
      <c r="B72" s="69"/>
      <c r="C72" s="69"/>
      <c r="D72" s="69"/>
      <c r="E72" s="70"/>
      <c r="F72" s="70"/>
      <c r="G72" s="70"/>
      <c r="H72" s="62"/>
      <c r="I72" s="36" t="n">
        <v>-2.97</v>
      </c>
      <c r="J72" s="36" t="n">
        <v>-3.2</v>
      </c>
      <c r="K72" s="79" t="n">
        <v>-1.234</v>
      </c>
      <c r="N72" s="58" t="s">
        <v>250</v>
      </c>
      <c r="O72" s="69"/>
      <c r="P72" s="69"/>
      <c r="Q72" s="69"/>
      <c r="R72" s="70"/>
      <c r="S72" s="70"/>
      <c r="T72" s="81" t="n">
        <v>-2.97</v>
      </c>
      <c r="U72" s="62"/>
      <c r="V72" s="62"/>
      <c r="W72" s="36" t="n">
        <v>-3.2</v>
      </c>
      <c r="X72" s="79" t="n">
        <v>-1.234</v>
      </c>
    </row>
    <row r="73" customFormat="false" ht="17.35" hidden="false" customHeight="false" outlineLevel="0" collapsed="false">
      <c r="A73" s="13" t="s">
        <v>320</v>
      </c>
      <c r="B73" s="13"/>
      <c r="C73" s="13"/>
      <c r="D73" s="13"/>
      <c r="E73" s="13"/>
      <c r="F73" s="79" t="n">
        <v>-0.142</v>
      </c>
      <c r="G73" s="79"/>
      <c r="H73" s="79"/>
      <c r="I73" s="79" t="n">
        <v>-0.972</v>
      </c>
      <c r="J73" s="79" t="n">
        <v>-1.13</v>
      </c>
      <c r="K73" s="74" t="n">
        <v>-1.252</v>
      </c>
      <c r="N73" s="13" t="s">
        <v>321</v>
      </c>
      <c r="O73" s="13"/>
      <c r="P73" s="13"/>
      <c r="Q73" s="13"/>
      <c r="R73" s="13"/>
      <c r="S73" s="79" t="n">
        <v>-0.142</v>
      </c>
      <c r="T73" s="79" t="n">
        <v>-0.972</v>
      </c>
      <c r="U73" s="79"/>
      <c r="V73" s="79"/>
      <c r="W73" s="79" t="n">
        <v>-1.13</v>
      </c>
      <c r="X73" s="74" t="n">
        <v>-1.252</v>
      </c>
    </row>
    <row r="75" customFormat="false" ht="15" hidden="false" customHeight="false" outlineLevel="0" collapsed="false">
      <c r="A75" s="58" t="s">
        <v>271</v>
      </c>
      <c r="B75" s="58" t="s">
        <v>169</v>
      </c>
      <c r="C75" s="58" t="s">
        <v>172</v>
      </c>
      <c r="D75" s="58" t="s">
        <v>175</v>
      </c>
      <c r="E75" s="58" t="s">
        <v>270</v>
      </c>
      <c r="G75" s="58" t="s">
        <v>262</v>
      </c>
      <c r="H75" s="58" t="s">
        <v>169</v>
      </c>
      <c r="I75" s="58" t="s">
        <v>172</v>
      </c>
      <c r="J75" s="58" t="s">
        <v>175</v>
      </c>
      <c r="K75" s="58" t="s">
        <v>270</v>
      </c>
      <c r="N75" s="58" t="s">
        <v>271</v>
      </c>
      <c r="O75" s="58" t="s">
        <v>169</v>
      </c>
      <c r="P75" s="58" t="s">
        <v>172</v>
      </c>
      <c r="Q75" s="58" t="s">
        <v>175</v>
      </c>
      <c r="R75" s="58" t="s">
        <v>270</v>
      </c>
      <c r="T75" s="58" t="s">
        <v>262</v>
      </c>
      <c r="U75" s="58" t="s">
        <v>169</v>
      </c>
      <c r="V75" s="58" t="s">
        <v>172</v>
      </c>
      <c r="W75" s="58" t="s">
        <v>175</v>
      </c>
      <c r="X75" s="58" t="s">
        <v>270</v>
      </c>
    </row>
    <row r="76" customFormat="false" ht="15" hidden="false" customHeight="false" outlineLevel="0" collapsed="false">
      <c r="A76" s="58" t="s">
        <v>186</v>
      </c>
      <c r="B76" s="78" t="n">
        <v>4.96</v>
      </c>
      <c r="C76" s="62"/>
      <c r="D76" s="62"/>
      <c r="E76" s="74" t="n">
        <v>4.96</v>
      </c>
      <c r="G76" s="58" t="s">
        <v>186</v>
      </c>
      <c r="H76" s="78" t="n">
        <v>30.655129789864</v>
      </c>
      <c r="I76" s="36" t="n">
        <v>0</v>
      </c>
      <c r="J76" s="36" t="n">
        <v>0</v>
      </c>
      <c r="K76" s="74" t="n">
        <v>30.655129789864</v>
      </c>
      <c r="N76" s="58" t="s">
        <v>186</v>
      </c>
      <c r="O76" s="78" t="n">
        <v>3.7</v>
      </c>
      <c r="P76" s="62"/>
      <c r="Q76" s="62"/>
      <c r="R76" s="74" t="n">
        <v>3.7</v>
      </c>
      <c r="T76" s="58" t="s">
        <v>177</v>
      </c>
      <c r="U76" s="78" t="n">
        <v>22.8677379480841</v>
      </c>
      <c r="V76" s="36" t="n">
        <v>0</v>
      </c>
      <c r="W76" s="36" t="n">
        <v>0</v>
      </c>
      <c r="X76" s="74" t="n">
        <v>22.8677379480841</v>
      </c>
    </row>
    <row r="77" customFormat="false" ht="15" hidden="false" customHeight="false" outlineLevel="0" collapsed="false">
      <c r="A77" s="58" t="s">
        <v>215</v>
      </c>
      <c r="B77" s="62"/>
      <c r="C77" s="69"/>
      <c r="D77" s="81" t="n">
        <v>-0.63</v>
      </c>
      <c r="E77" s="74" t="n">
        <v>-0.63</v>
      </c>
      <c r="G77" s="58" t="s">
        <v>215</v>
      </c>
      <c r="H77" s="36" t="n">
        <v>0</v>
      </c>
      <c r="I77" s="80" t="n">
        <v>0</v>
      </c>
      <c r="J77" s="81" t="n">
        <v>-3.89369592088999</v>
      </c>
      <c r="K77" s="74" t="n">
        <v>-3.89369592088999</v>
      </c>
      <c r="N77" s="58" t="s">
        <v>215</v>
      </c>
      <c r="O77" s="62"/>
      <c r="P77" s="80" t="n">
        <v>-1.34</v>
      </c>
      <c r="Q77" s="81" t="n">
        <v>-2.45</v>
      </c>
      <c r="R77" s="74" t="n">
        <v>-3.79</v>
      </c>
      <c r="T77" s="58" t="s">
        <v>215</v>
      </c>
      <c r="U77" s="36" t="n">
        <v>0</v>
      </c>
      <c r="V77" s="80" t="n">
        <v>-8.28182941903584</v>
      </c>
      <c r="W77" s="81" t="n">
        <v>-15.1421508034611</v>
      </c>
      <c r="X77" s="74" t="n">
        <v>-23.4239802224969</v>
      </c>
    </row>
    <row r="78" customFormat="false" ht="15" hidden="false" customHeight="false" outlineLevel="0" collapsed="false">
      <c r="A78" s="58" t="s">
        <v>243</v>
      </c>
      <c r="B78" s="69"/>
      <c r="C78" s="81" t="n">
        <v>-0.71</v>
      </c>
      <c r="D78" s="36" t="n">
        <v>-9.88</v>
      </c>
      <c r="E78" s="74" t="n">
        <v>-10.59</v>
      </c>
      <c r="G78" s="58" t="s">
        <v>243</v>
      </c>
      <c r="H78" s="80" t="n">
        <v>0</v>
      </c>
      <c r="I78" s="81" t="n">
        <v>-4.38813349814586</v>
      </c>
      <c r="J78" s="36" t="n">
        <v>-61.0630407911001</v>
      </c>
      <c r="K78" s="74" t="n">
        <v>-65.451174289246</v>
      </c>
      <c r="N78" s="58" t="s">
        <v>243</v>
      </c>
      <c r="O78" s="69"/>
      <c r="P78" s="81" t="n">
        <v>-2.97</v>
      </c>
      <c r="Q78" s="36" t="n">
        <v>-3.2</v>
      </c>
      <c r="R78" s="74" t="n">
        <v>-6.17</v>
      </c>
      <c r="T78" s="58" t="s">
        <v>243</v>
      </c>
      <c r="U78" s="80" t="n">
        <v>0</v>
      </c>
      <c r="V78" s="81" t="n">
        <v>-18.3559950556242</v>
      </c>
      <c r="W78" s="36" t="n">
        <v>-19.7775030902349</v>
      </c>
      <c r="X78" s="74" t="n">
        <v>-38.1334981458591</v>
      </c>
    </row>
    <row r="79" customFormat="false" ht="15" hidden="false" customHeight="false" outlineLevel="0" collapsed="false">
      <c r="A79" s="58" t="s">
        <v>270</v>
      </c>
      <c r="B79" s="74" t="n">
        <v>4.96</v>
      </c>
      <c r="C79" s="74" t="n">
        <v>-0.71</v>
      </c>
      <c r="D79" s="74" t="n">
        <v>-10.51</v>
      </c>
      <c r="E79" s="74" t="n">
        <v>-6.26</v>
      </c>
      <c r="G79" s="58" t="s">
        <v>270</v>
      </c>
      <c r="H79" s="74" t="n">
        <v>30.655129789864</v>
      </c>
      <c r="I79" s="74" t="n">
        <v>-4.38813349814586</v>
      </c>
      <c r="J79" s="74" t="n">
        <v>-64.9567367119901</v>
      </c>
      <c r="K79" s="74" t="n">
        <v>-38.6897404202719</v>
      </c>
      <c r="N79" s="58" t="s">
        <v>270</v>
      </c>
      <c r="O79" s="74" t="n">
        <v>3.7</v>
      </c>
      <c r="P79" s="74" t="n">
        <v>-4.31</v>
      </c>
      <c r="Q79" s="74" t="n">
        <v>-5.65</v>
      </c>
      <c r="R79" s="74" t="n">
        <v>-6.26</v>
      </c>
      <c r="T79" s="58" t="s">
        <v>270</v>
      </c>
      <c r="U79" s="74" t="n">
        <v>22.8677379480841</v>
      </c>
      <c r="V79" s="74" t="n">
        <v>-26.6378244746601</v>
      </c>
      <c r="W79" s="74" t="n">
        <v>-34.9196538936959</v>
      </c>
      <c r="X79" s="74" t="n">
        <v>-38.6897404202719</v>
      </c>
    </row>
    <row r="83" customFormat="false" ht="17.35" hidden="false" customHeight="false" outlineLevel="0" collapsed="false">
      <c r="A83" s="13" t="s">
        <v>322</v>
      </c>
      <c r="B83" s="13"/>
      <c r="C83" s="13"/>
      <c r="D83" s="13"/>
      <c r="E83" s="13"/>
      <c r="F83" s="13"/>
      <c r="G83" s="13"/>
      <c r="H83" s="13"/>
      <c r="I83" s="13"/>
      <c r="J83" s="13"/>
      <c r="K83" s="13"/>
      <c r="N83" s="13" t="s">
        <v>323</v>
      </c>
      <c r="O83" s="13"/>
      <c r="P83" s="13"/>
      <c r="Q83" s="13"/>
      <c r="R83" s="13"/>
      <c r="S83" s="13"/>
      <c r="T83" s="13"/>
      <c r="U83" s="13"/>
      <c r="V83" s="13"/>
      <c r="W83" s="13"/>
      <c r="X83" s="13"/>
    </row>
    <row r="85" customFormat="false" ht="15" hidden="false" customHeight="false" outlineLevel="0" collapsed="false">
      <c r="A85" s="58" t="s">
        <v>312</v>
      </c>
      <c r="B85" s="58" t="s">
        <v>168</v>
      </c>
      <c r="C85" s="58" t="s">
        <v>169</v>
      </c>
      <c r="D85" s="58" t="s">
        <v>170</v>
      </c>
      <c r="E85" s="58" t="s">
        <v>171</v>
      </c>
      <c r="F85" s="58" t="s">
        <v>172</v>
      </c>
      <c r="G85" s="58" t="s">
        <v>173</v>
      </c>
      <c r="H85" s="58" t="s">
        <v>174</v>
      </c>
      <c r="I85" s="58" t="s">
        <v>175</v>
      </c>
      <c r="J85" s="58" t="s">
        <v>176</v>
      </c>
      <c r="K85" s="58" t="s">
        <v>319</v>
      </c>
      <c r="N85" s="58" t="s">
        <v>312</v>
      </c>
      <c r="O85" s="58" t="s">
        <v>168</v>
      </c>
      <c r="P85" s="58" t="s">
        <v>171</v>
      </c>
      <c r="Q85" s="58" t="s">
        <v>174</v>
      </c>
      <c r="R85" s="58" t="s">
        <v>169</v>
      </c>
      <c r="S85" s="58" t="s">
        <v>172</v>
      </c>
      <c r="T85" s="58" t="s">
        <v>175</v>
      </c>
      <c r="U85" s="58" t="s">
        <v>170</v>
      </c>
      <c r="V85" s="58" t="s">
        <v>173</v>
      </c>
      <c r="W85" s="58" t="s">
        <v>176</v>
      </c>
      <c r="X85" s="58" t="s">
        <v>319</v>
      </c>
    </row>
    <row r="86" customFormat="false" ht="15" hidden="false" customHeight="false" outlineLevel="0" collapsed="false">
      <c r="A86" s="58" t="s">
        <v>177</v>
      </c>
      <c r="B86" s="78" t="n">
        <v>2.63333333333333</v>
      </c>
      <c r="C86" s="67"/>
      <c r="D86" s="67"/>
      <c r="E86" s="62"/>
      <c r="F86" s="62"/>
      <c r="G86" s="62"/>
      <c r="H86" s="62"/>
      <c r="I86" s="62"/>
      <c r="J86" s="62"/>
      <c r="K86" s="79" t="n">
        <v>0.526666666666667</v>
      </c>
      <c r="N86" s="58" t="s">
        <v>177</v>
      </c>
      <c r="O86" s="78" t="n">
        <v>2.63333333333333</v>
      </c>
      <c r="P86" s="67"/>
      <c r="Q86" s="67"/>
      <c r="R86" s="62"/>
      <c r="S86" s="62"/>
      <c r="T86" s="62"/>
      <c r="U86" s="62"/>
      <c r="V86" s="62"/>
      <c r="W86" s="62"/>
      <c r="X86" s="79" t="n">
        <v>0.526666666666667</v>
      </c>
    </row>
    <row r="87" customFormat="false" ht="15" hidden="false" customHeight="false" outlineLevel="0" collapsed="false">
      <c r="A87" s="58" t="s">
        <v>186</v>
      </c>
      <c r="B87" s="67"/>
      <c r="C87" s="78" t="n">
        <v>-0.27</v>
      </c>
      <c r="D87" s="67"/>
      <c r="E87" s="62"/>
      <c r="F87" s="62"/>
      <c r="G87" s="62"/>
      <c r="H87" s="62"/>
      <c r="I87" s="62"/>
      <c r="J87" s="62"/>
      <c r="K87" s="79" t="n">
        <v>-0.054</v>
      </c>
      <c r="N87" s="58" t="s">
        <v>205</v>
      </c>
      <c r="O87" s="67"/>
      <c r="P87" s="67"/>
      <c r="Q87" s="67"/>
      <c r="R87" s="62"/>
      <c r="S87" s="62"/>
      <c r="T87" s="62"/>
      <c r="U87" s="62"/>
      <c r="V87" s="62"/>
      <c r="W87" s="62"/>
      <c r="X87" s="79"/>
    </row>
    <row r="88" customFormat="false" ht="15" hidden="false" customHeight="false" outlineLevel="0" collapsed="false">
      <c r="A88" s="58" t="s">
        <v>195</v>
      </c>
      <c r="B88" s="67"/>
      <c r="C88" s="67"/>
      <c r="D88" s="67"/>
      <c r="E88" s="62"/>
      <c r="F88" s="62"/>
      <c r="G88" s="62"/>
      <c r="H88" s="62"/>
      <c r="I88" s="62"/>
      <c r="J88" s="62"/>
      <c r="K88" s="79"/>
      <c r="N88" s="58" t="s">
        <v>233</v>
      </c>
      <c r="O88" s="67"/>
      <c r="P88" s="67"/>
      <c r="Q88" s="67"/>
      <c r="R88" s="62"/>
      <c r="S88" s="62"/>
      <c r="T88" s="62"/>
      <c r="U88" s="62"/>
      <c r="V88" s="62"/>
      <c r="W88" s="62"/>
      <c r="X88" s="79"/>
    </row>
    <row r="89" customFormat="false" ht="15" hidden="false" customHeight="false" outlineLevel="0" collapsed="false">
      <c r="A89" s="58" t="s">
        <v>205</v>
      </c>
      <c r="B89" s="62"/>
      <c r="C89" s="62"/>
      <c r="D89" s="62"/>
      <c r="E89" s="69"/>
      <c r="F89" s="69"/>
      <c r="G89" s="69"/>
      <c r="H89" s="70"/>
      <c r="I89" s="70"/>
      <c r="J89" s="70"/>
      <c r="K89" s="79"/>
      <c r="N89" s="58" t="s">
        <v>186</v>
      </c>
      <c r="O89" s="62"/>
      <c r="P89" s="62"/>
      <c r="Q89" s="62"/>
      <c r="R89" s="80" t="n">
        <v>-0.27</v>
      </c>
      <c r="S89" s="69"/>
      <c r="T89" s="69"/>
      <c r="U89" s="70"/>
      <c r="V89" s="70"/>
      <c r="W89" s="70"/>
      <c r="X89" s="79" t="n">
        <v>-0.054</v>
      </c>
    </row>
    <row r="90" customFormat="false" ht="15" hidden="false" customHeight="false" outlineLevel="0" collapsed="false">
      <c r="A90" s="58" t="s">
        <v>215</v>
      </c>
      <c r="B90" s="62"/>
      <c r="C90" s="62"/>
      <c r="D90" s="62"/>
      <c r="E90" s="69"/>
      <c r="F90" s="80" t="n">
        <v>0</v>
      </c>
      <c r="G90" s="69"/>
      <c r="H90" s="70"/>
      <c r="I90" s="81" t="n">
        <v>-0.63</v>
      </c>
      <c r="J90" s="70"/>
      <c r="K90" s="79" t="n">
        <v>-0.126</v>
      </c>
      <c r="N90" s="58" t="s">
        <v>215</v>
      </c>
      <c r="O90" s="62"/>
      <c r="P90" s="62"/>
      <c r="Q90" s="62"/>
      <c r="R90" s="69"/>
      <c r="S90" s="80" t="n">
        <v>0</v>
      </c>
      <c r="T90" s="80" t="n">
        <v>-0.63</v>
      </c>
      <c r="U90" s="70"/>
      <c r="V90" s="70"/>
      <c r="W90" s="70"/>
      <c r="X90" s="79" t="n">
        <v>-0.126</v>
      </c>
    </row>
    <row r="91" customFormat="false" ht="15" hidden="false" customHeight="false" outlineLevel="0" collapsed="false">
      <c r="A91" s="58" t="s">
        <v>223</v>
      </c>
      <c r="B91" s="62"/>
      <c r="C91" s="62"/>
      <c r="D91" s="62"/>
      <c r="E91" s="69"/>
      <c r="F91" s="69"/>
      <c r="G91" s="69"/>
      <c r="H91" s="70"/>
      <c r="I91" s="70"/>
      <c r="J91" s="70"/>
      <c r="K91" s="79"/>
      <c r="N91" s="58" t="s">
        <v>243</v>
      </c>
      <c r="O91" s="62"/>
      <c r="P91" s="62"/>
      <c r="Q91" s="62"/>
      <c r="R91" s="69"/>
      <c r="S91" s="80" t="n">
        <v>-2.57</v>
      </c>
      <c r="T91" s="80" t="n">
        <v>-2.72</v>
      </c>
      <c r="U91" s="70"/>
      <c r="V91" s="70"/>
      <c r="W91" s="81" t="n">
        <v>-3.03</v>
      </c>
      <c r="X91" s="79" t="n">
        <v>-1.664</v>
      </c>
    </row>
    <row r="92" customFormat="false" ht="15" hidden="false" customHeight="false" outlineLevel="0" collapsed="false">
      <c r="A92" s="58" t="s">
        <v>233</v>
      </c>
      <c r="B92" s="69"/>
      <c r="C92" s="69"/>
      <c r="D92" s="69"/>
      <c r="E92" s="70"/>
      <c r="F92" s="70"/>
      <c r="G92" s="70"/>
      <c r="H92" s="62"/>
      <c r="I92" s="62"/>
      <c r="J92" s="62"/>
      <c r="K92" s="79"/>
      <c r="N92" s="58" t="s">
        <v>195</v>
      </c>
      <c r="O92" s="69"/>
      <c r="P92" s="69"/>
      <c r="Q92" s="69"/>
      <c r="R92" s="70"/>
      <c r="S92" s="70"/>
      <c r="T92" s="70"/>
      <c r="U92" s="62"/>
      <c r="V92" s="62"/>
      <c r="W92" s="62"/>
      <c r="X92" s="79"/>
    </row>
    <row r="93" customFormat="false" ht="15" hidden="false" customHeight="false" outlineLevel="0" collapsed="false">
      <c r="A93" s="58" t="s">
        <v>243</v>
      </c>
      <c r="B93" s="69"/>
      <c r="C93" s="69"/>
      <c r="D93" s="69"/>
      <c r="E93" s="70"/>
      <c r="F93" s="81" t="n">
        <v>-2.57</v>
      </c>
      <c r="G93" s="70"/>
      <c r="H93" s="62"/>
      <c r="I93" s="36" t="n">
        <v>-2.72</v>
      </c>
      <c r="J93" s="36" t="n">
        <v>-3.03</v>
      </c>
      <c r="K93" s="79" t="n">
        <v>-1.664</v>
      </c>
      <c r="N93" s="58" t="s">
        <v>223</v>
      </c>
      <c r="O93" s="69"/>
      <c r="P93" s="69"/>
      <c r="Q93" s="69"/>
      <c r="R93" s="70"/>
      <c r="S93" s="70"/>
      <c r="T93" s="70"/>
      <c r="U93" s="62"/>
      <c r="V93" s="62"/>
      <c r="W93" s="62"/>
      <c r="X93" s="79"/>
    </row>
    <row r="94" customFormat="false" ht="15" hidden="false" customHeight="false" outlineLevel="0" collapsed="false">
      <c r="A94" s="58" t="s">
        <v>250</v>
      </c>
      <c r="B94" s="69"/>
      <c r="C94" s="69"/>
      <c r="D94" s="69"/>
      <c r="E94" s="70"/>
      <c r="F94" s="70"/>
      <c r="G94" s="70"/>
      <c r="H94" s="62"/>
      <c r="I94" s="36" t="n">
        <v>-3.02</v>
      </c>
      <c r="J94" s="36" t="n">
        <v>-3.21</v>
      </c>
      <c r="K94" s="79" t="n">
        <v>-1.246</v>
      </c>
      <c r="N94" s="58" t="s">
        <v>250</v>
      </c>
      <c r="O94" s="69"/>
      <c r="P94" s="69"/>
      <c r="Q94" s="69"/>
      <c r="R94" s="70"/>
      <c r="S94" s="70"/>
      <c r="T94" s="81" t="n">
        <v>-3.02</v>
      </c>
      <c r="U94" s="62"/>
      <c r="V94" s="62"/>
      <c r="W94" s="36" t="n">
        <v>-3.21</v>
      </c>
      <c r="X94" s="79" t="n">
        <v>-1.246</v>
      </c>
    </row>
    <row r="95" customFormat="false" ht="17.35" hidden="false" customHeight="false" outlineLevel="0" collapsed="false">
      <c r="A95" s="13" t="s">
        <v>324</v>
      </c>
      <c r="B95" s="13"/>
      <c r="C95" s="13"/>
      <c r="D95" s="13"/>
      <c r="E95" s="13"/>
      <c r="F95" s="79" t="n">
        <v>-0.514</v>
      </c>
      <c r="G95" s="79"/>
      <c r="H95" s="79"/>
      <c r="I95" s="79" t="n">
        <v>-1.274</v>
      </c>
      <c r="J95" s="79" t="n">
        <v>-1.248</v>
      </c>
      <c r="K95" s="74" t="n">
        <v>-2.56333333333333</v>
      </c>
      <c r="N95" s="13" t="s">
        <v>325</v>
      </c>
      <c r="O95" s="13"/>
      <c r="P95" s="13"/>
      <c r="Q95" s="13"/>
      <c r="R95" s="13"/>
      <c r="S95" s="79" t="n">
        <v>-0.514</v>
      </c>
      <c r="T95" s="79" t="n">
        <v>-1.274</v>
      </c>
      <c r="U95" s="79"/>
      <c r="V95" s="79"/>
      <c r="W95" s="79" t="n">
        <v>-1.248</v>
      </c>
      <c r="X95" s="74" t="n">
        <v>-2.56333333333333</v>
      </c>
    </row>
    <row r="97" customFormat="false" ht="15" hidden="false" customHeight="false" outlineLevel="0" collapsed="false">
      <c r="A97" s="58" t="s">
        <v>271</v>
      </c>
      <c r="B97" s="58" t="s">
        <v>169</v>
      </c>
      <c r="C97" s="58" t="s">
        <v>172</v>
      </c>
      <c r="D97" s="58" t="s">
        <v>175</v>
      </c>
      <c r="E97" s="58" t="s">
        <v>270</v>
      </c>
      <c r="G97" s="58" t="s">
        <v>262</v>
      </c>
      <c r="H97" s="58" t="s">
        <v>169</v>
      </c>
      <c r="I97" s="58" t="s">
        <v>172</v>
      </c>
      <c r="J97" s="58" t="s">
        <v>175</v>
      </c>
      <c r="K97" s="58" t="s">
        <v>270</v>
      </c>
      <c r="N97" s="58" t="s">
        <v>271</v>
      </c>
      <c r="O97" s="58" t="s">
        <v>169</v>
      </c>
      <c r="P97" s="58" t="s">
        <v>172</v>
      </c>
      <c r="Q97" s="58" t="s">
        <v>175</v>
      </c>
      <c r="R97" s="58" t="s">
        <v>270</v>
      </c>
      <c r="T97" s="58" t="s">
        <v>262</v>
      </c>
      <c r="U97" s="58" t="s">
        <v>169</v>
      </c>
      <c r="V97" s="58" t="s">
        <v>172</v>
      </c>
      <c r="W97" s="58" t="s">
        <v>175</v>
      </c>
      <c r="X97" s="58" t="s">
        <v>270</v>
      </c>
    </row>
    <row r="98" customFormat="false" ht="15" hidden="false" customHeight="false" outlineLevel="0" collapsed="false">
      <c r="A98" s="58" t="s">
        <v>186</v>
      </c>
      <c r="B98" s="78" t="n">
        <v>2.36333333333333</v>
      </c>
      <c r="C98" s="62"/>
      <c r="D98" s="62"/>
      <c r="E98" s="74" t="n">
        <v>2.36333333333333</v>
      </c>
      <c r="G98" s="58" t="s">
        <v>186</v>
      </c>
      <c r="H98" s="78" t="n">
        <v>13.0691244239631</v>
      </c>
      <c r="I98" s="36" t="n">
        <v>0</v>
      </c>
      <c r="J98" s="36" t="n">
        <v>0</v>
      </c>
      <c r="K98" s="74" t="n">
        <v>13.0691244239631</v>
      </c>
      <c r="N98" s="58" t="s">
        <v>186</v>
      </c>
      <c r="O98" s="78" t="n">
        <v>2.63333333333333</v>
      </c>
      <c r="P98" s="62"/>
      <c r="Q98" s="62"/>
      <c r="R98" s="74" t="n">
        <v>2.63333333333333</v>
      </c>
      <c r="T98" s="58" t="s">
        <v>177</v>
      </c>
      <c r="U98" s="78" t="n">
        <v>14.5622119815668</v>
      </c>
      <c r="V98" s="36" t="n">
        <v>0</v>
      </c>
      <c r="W98" s="36" t="n">
        <v>0</v>
      </c>
      <c r="X98" s="74" t="n">
        <v>14.5622119815668</v>
      </c>
    </row>
    <row r="99" customFormat="false" ht="15" hidden="false" customHeight="false" outlineLevel="0" collapsed="false">
      <c r="A99" s="58" t="s">
        <v>215</v>
      </c>
      <c r="B99" s="62"/>
      <c r="C99" s="69"/>
      <c r="D99" s="81" t="n">
        <v>-0.63</v>
      </c>
      <c r="E99" s="74" t="n">
        <v>-0.63</v>
      </c>
      <c r="G99" s="58" t="s">
        <v>215</v>
      </c>
      <c r="H99" s="36" t="n">
        <v>0</v>
      </c>
      <c r="I99" s="80" t="n">
        <v>0</v>
      </c>
      <c r="J99" s="81" t="n">
        <v>-3.48387096774194</v>
      </c>
      <c r="K99" s="74" t="n">
        <v>-3.48387096774194</v>
      </c>
      <c r="N99" s="58" t="s">
        <v>215</v>
      </c>
      <c r="O99" s="62"/>
      <c r="P99" s="80" t="n">
        <v>-6.19</v>
      </c>
      <c r="Q99" s="81" t="n">
        <v>-3.03</v>
      </c>
      <c r="R99" s="74" t="n">
        <v>-9.22</v>
      </c>
      <c r="T99" s="58" t="s">
        <v>215</v>
      </c>
      <c r="U99" s="36" t="n">
        <v>0</v>
      </c>
      <c r="V99" s="80" t="n">
        <v>-34.2304147465438</v>
      </c>
      <c r="W99" s="81" t="n">
        <v>-16.7557603686636</v>
      </c>
      <c r="X99" s="74" t="n">
        <v>-50.9861751152074</v>
      </c>
    </row>
    <row r="100" customFormat="false" ht="15" hidden="false" customHeight="false" outlineLevel="0" collapsed="false">
      <c r="A100" s="58" t="s">
        <v>243</v>
      </c>
      <c r="B100" s="69"/>
      <c r="C100" s="81" t="n">
        <v>-2.57</v>
      </c>
      <c r="D100" s="36" t="n">
        <v>-11.98</v>
      </c>
      <c r="E100" s="74" t="n">
        <v>-14.55</v>
      </c>
      <c r="G100" s="58" t="s">
        <v>243</v>
      </c>
      <c r="H100" s="80" t="n">
        <v>0</v>
      </c>
      <c r="I100" s="81" t="n">
        <v>-14.2119815668203</v>
      </c>
      <c r="J100" s="36" t="n">
        <v>-66.2488479262673</v>
      </c>
      <c r="K100" s="74" t="n">
        <v>-80.4608294930876</v>
      </c>
      <c r="N100" s="58" t="s">
        <v>243</v>
      </c>
      <c r="O100" s="69"/>
      <c r="P100" s="81" t="n">
        <v>-3.02</v>
      </c>
      <c r="Q100" s="36" t="n">
        <v>-3.21</v>
      </c>
      <c r="R100" s="74" t="n">
        <v>-6.23</v>
      </c>
      <c r="T100" s="58" t="s">
        <v>243</v>
      </c>
      <c r="U100" s="80" t="n">
        <v>0</v>
      </c>
      <c r="V100" s="81" t="n">
        <v>-16.7004608294931</v>
      </c>
      <c r="W100" s="36" t="n">
        <v>-17.7511520737327</v>
      </c>
      <c r="X100" s="74" t="n">
        <v>-34.4516129032258</v>
      </c>
    </row>
    <row r="101" customFormat="false" ht="15" hidden="false" customHeight="false" outlineLevel="0" collapsed="false">
      <c r="A101" s="58" t="s">
        <v>270</v>
      </c>
      <c r="B101" s="74" t="n">
        <v>2.36333333333333</v>
      </c>
      <c r="C101" s="74" t="n">
        <v>-2.57</v>
      </c>
      <c r="D101" s="74" t="n">
        <v>-12.61</v>
      </c>
      <c r="E101" s="74" t="n">
        <v>-12.8166666666667</v>
      </c>
      <c r="G101" s="58" t="s">
        <v>270</v>
      </c>
      <c r="H101" s="74" t="n">
        <v>13.0691244239631</v>
      </c>
      <c r="I101" s="74" t="n">
        <v>-14.2119815668203</v>
      </c>
      <c r="J101" s="74" t="n">
        <v>-69.7327188940092</v>
      </c>
      <c r="K101" s="74" t="n">
        <v>-70.8755760368664</v>
      </c>
      <c r="N101" s="58" t="s">
        <v>270</v>
      </c>
      <c r="O101" s="74" t="n">
        <v>2.63333333333333</v>
      </c>
      <c r="P101" s="74" t="n">
        <v>-9.21</v>
      </c>
      <c r="Q101" s="74" t="n">
        <v>-6.24</v>
      </c>
      <c r="R101" s="74" t="n">
        <v>-12.8166666666667</v>
      </c>
      <c r="T101" s="58" t="s">
        <v>270</v>
      </c>
      <c r="U101" s="74" t="n">
        <v>14.5622119815668</v>
      </c>
      <c r="V101" s="74" t="n">
        <v>-50.9308755760369</v>
      </c>
      <c r="W101" s="74" t="n">
        <v>-34.5069124423963</v>
      </c>
      <c r="X101" s="74" t="n">
        <v>-70.8755760368664</v>
      </c>
    </row>
    <row r="105" customFormat="false" ht="17.35" hidden="false" customHeight="false" outlineLevel="0" collapsed="false">
      <c r="A105" s="13" t="s">
        <v>326</v>
      </c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N105" s="13" t="s">
        <v>327</v>
      </c>
      <c r="O105" s="13"/>
      <c r="P105" s="13"/>
      <c r="Q105" s="13"/>
      <c r="R105" s="13"/>
      <c r="S105" s="13"/>
      <c r="T105" s="13"/>
      <c r="U105" s="13"/>
      <c r="V105" s="13"/>
      <c r="W105" s="13"/>
      <c r="X105" s="13"/>
    </row>
    <row r="107" customFormat="false" ht="15" hidden="false" customHeight="false" outlineLevel="0" collapsed="false">
      <c r="A107" s="58" t="s">
        <v>312</v>
      </c>
      <c r="B107" s="58" t="s">
        <v>168</v>
      </c>
      <c r="C107" s="58" t="s">
        <v>169</v>
      </c>
      <c r="D107" s="58" t="s">
        <v>170</v>
      </c>
      <c r="E107" s="58" t="s">
        <v>171</v>
      </c>
      <c r="F107" s="58" t="s">
        <v>172</v>
      </c>
      <c r="G107" s="58" t="s">
        <v>173</v>
      </c>
      <c r="H107" s="58" t="s">
        <v>174</v>
      </c>
      <c r="I107" s="58" t="s">
        <v>175</v>
      </c>
      <c r="J107" s="58" t="s">
        <v>176</v>
      </c>
      <c r="K107" s="58" t="s">
        <v>319</v>
      </c>
      <c r="N107" s="58" t="s">
        <v>312</v>
      </c>
      <c r="O107" s="58" t="s">
        <v>168</v>
      </c>
      <c r="P107" s="58" t="s">
        <v>171</v>
      </c>
      <c r="Q107" s="58" t="s">
        <v>174</v>
      </c>
      <c r="R107" s="58" t="s">
        <v>169</v>
      </c>
      <c r="S107" s="58" t="s">
        <v>172</v>
      </c>
      <c r="T107" s="58" t="s">
        <v>175</v>
      </c>
      <c r="U107" s="58" t="s">
        <v>170</v>
      </c>
      <c r="V107" s="58" t="s">
        <v>173</v>
      </c>
      <c r="W107" s="58" t="s">
        <v>176</v>
      </c>
      <c r="X107" s="58" t="s">
        <v>319</v>
      </c>
    </row>
    <row r="108" customFormat="false" ht="15" hidden="false" customHeight="false" outlineLevel="0" collapsed="false">
      <c r="A108" s="58" t="s">
        <v>177</v>
      </c>
      <c r="B108" s="78" t="n">
        <v>2.63333333333333</v>
      </c>
      <c r="C108" s="67"/>
      <c r="D108" s="67"/>
      <c r="E108" s="62"/>
      <c r="F108" s="62"/>
      <c r="G108" s="62"/>
      <c r="H108" s="62"/>
      <c r="I108" s="62"/>
      <c r="J108" s="62"/>
      <c r="K108" s="79" t="n">
        <v>0.526666666666667</v>
      </c>
      <c r="N108" s="58" t="s">
        <v>177</v>
      </c>
      <c r="O108" s="78" t="n">
        <v>2.63333333333333</v>
      </c>
      <c r="P108" s="67"/>
      <c r="Q108" s="67"/>
      <c r="R108" s="62"/>
      <c r="S108" s="62"/>
      <c r="T108" s="62"/>
      <c r="U108" s="62"/>
      <c r="V108" s="62"/>
      <c r="W108" s="62"/>
      <c r="X108" s="79" t="n">
        <v>0.526666666666667</v>
      </c>
    </row>
    <row r="109" customFormat="false" ht="15" hidden="false" customHeight="false" outlineLevel="0" collapsed="false">
      <c r="A109" s="58" t="s">
        <v>186</v>
      </c>
      <c r="B109" s="67"/>
      <c r="C109" s="78" t="n">
        <v>-0.27</v>
      </c>
      <c r="D109" s="67"/>
      <c r="E109" s="62"/>
      <c r="F109" s="62"/>
      <c r="G109" s="62"/>
      <c r="H109" s="62"/>
      <c r="I109" s="62"/>
      <c r="J109" s="62"/>
      <c r="K109" s="79" t="n">
        <v>-0.054</v>
      </c>
      <c r="N109" s="58" t="s">
        <v>205</v>
      </c>
      <c r="O109" s="67"/>
      <c r="P109" s="67"/>
      <c r="Q109" s="67"/>
      <c r="R109" s="62"/>
      <c r="S109" s="62"/>
      <c r="T109" s="62"/>
      <c r="U109" s="62"/>
      <c r="V109" s="62"/>
      <c r="W109" s="62"/>
      <c r="X109" s="79"/>
    </row>
    <row r="110" customFormat="false" ht="15" hidden="false" customHeight="false" outlineLevel="0" collapsed="false">
      <c r="A110" s="58" t="s">
        <v>195</v>
      </c>
      <c r="B110" s="67"/>
      <c r="C110" s="67"/>
      <c r="D110" s="67"/>
      <c r="E110" s="62"/>
      <c r="F110" s="62"/>
      <c r="G110" s="62"/>
      <c r="H110" s="62"/>
      <c r="I110" s="62"/>
      <c r="J110" s="62"/>
      <c r="K110" s="79"/>
      <c r="N110" s="58" t="s">
        <v>233</v>
      </c>
      <c r="O110" s="67"/>
      <c r="P110" s="67"/>
      <c r="Q110" s="67"/>
      <c r="R110" s="62"/>
      <c r="S110" s="62"/>
      <c r="T110" s="62"/>
      <c r="U110" s="62"/>
      <c r="V110" s="62"/>
      <c r="W110" s="62"/>
      <c r="X110" s="79"/>
    </row>
    <row r="111" customFormat="false" ht="15" hidden="false" customHeight="false" outlineLevel="0" collapsed="false">
      <c r="A111" s="58" t="s">
        <v>205</v>
      </c>
      <c r="B111" s="62"/>
      <c r="C111" s="62"/>
      <c r="D111" s="62"/>
      <c r="E111" s="69"/>
      <c r="F111" s="69"/>
      <c r="G111" s="69"/>
      <c r="H111" s="70"/>
      <c r="I111" s="70"/>
      <c r="J111" s="70"/>
      <c r="K111" s="79"/>
      <c r="N111" s="58" t="s">
        <v>186</v>
      </c>
      <c r="O111" s="62"/>
      <c r="P111" s="62"/>
      <c r="Q111" s="62"/>
      <c r="R111" s="80" t="n">
        <v>-0.27</v>
      </c>
      <c r="S111" s="69"/>
      <c r="T111" s="69"/>
      <c r="U111" s="70"/>
      <c r="V111" s="70"/>
      <c r="W111" s="70"/>
      <c r="X111" s="79" t="n">
        <v>-0.054</v>
      </c>
    </row>
    <row r="112" customFormat="false" ht="15" hidden="false" customHeight="false" outlineLevel="0" collapsed="false">
      <c r="A112" s="58" t="s">
        <v>215</v>
      </c>
      <c r="B112" s="62"/>
      <c r="C112" s="62"/>
      <c r="D112" s="62"/>
      <c r="E112" s="69"/>
      <c r="F112" s="80" t="n">
        <v>0</v>
      </c>
      <c r="G112" s="69"/>
      <c r="H112" s="70"/>
      <c r="I112" s="81" t="n">
        <v>-2.625</v>
      </c>
      <c r="J112" s="70"/>
      <c r="K112" s="79" t="n">
        <v>-0.525</v>
      </c>
      <c r="N112" s="58" t="s">
        <v>215</v>
      </c>
      <c r="O112" s="62"/>
      <c r="P112" s="62"/>
      <c r="Q112" s="62"/>
      <c r="R112" s="69"/>
      <c r="S112" s="80" t="n">
        <v>0</v>
      </c>
      <c r="T112" s="80" t="n">
        <v>-2.625</v>
      </c>
      <c r="U112" s="70"/>
      <c r="V112" s="70"/>
      <c r="W112" s="70"/>
      <c r="X112" s="79" t="n">
        <v>-0.525</v>
      </c>
    </row>
    <row r="113" customFormat="false" ht="15" hidden="false" customHeight="false" outlineLevel="0" collapsed="false">
      <c r="A113" s="58" t="s">
        <v>223</v>
      </c>
      <c r="B113" s="62"/>
      <c r="C113" s="62"/>
      <c r="D113" s="62"/>
      <c r="E113" s="69"/>
      <c r="F113" s="69"/>
      <c r="G113" s="69"/>
      <c r="H113" s="70"/>
      <c r="I113" s="70"/>
      <c r="J113" s="70"/>
      <c r="K113" s="79"/>
      <c r="N113" s="58" t="s">
        <v>243</v>
      </c>
      <c r="O113" s="62"/>
      <c r="P113" s="62"/>
      <c r="Q113" s="62"/>
      <c r="R113" s="69"/>
      <c r="S113" s="80" t="n">
        <v>-0.71</v>
      </c>
      <c r="T113" s="80" t="n">
        <v>-2.775</v>
      </c>
      <c r="U113" s="70"/>
      <c r="V113" s="70"/>
      <c r="W113" s="81" t="n">
        <v>-2.92</v>
      </c>
      <c r="X113" s="79" t="n">
        <v>-1.281</v>
      </c>
    </row>
    <row r="114" customFormat="false" ht="15" hidden="false" customHeight="false" outlineLevel="0" collapsed="false">
      <c r="A114" s="58" t="s">
        <v>233</v>
      </c>
      <c r="B114" s="69"/>
      <c r="C114" s="69"/>
      <c r="D114" s="69"/>
      <c r="E114" s="70"/>
      <c r="F114" s="70"/>
      <c r="G114" s="70"/>
      <c r="H114" s="62"/>
      <c r="I114" s="62"/>
      <c r="J114" s="62"/>
      <c r="K114" s="79"/>
      <c r="N114" s="58" t="s">
        <v>195</v>
      </c>
      <c r="O114" s="69"/>
      <c r="P114" s="69"/>
      <c r="Q114" s="69"/>
      <c r="R114" s="70"/>
      <c r="S114" s="70"/>
      <c r="T114" s="70"/>
      <c r="U114" s="62"/>
      <c r="V114" s="62"/>
      <c r="W114" s="62"/>
      <c r="X114" s="79"/>
    </row>
    <row r="115" customFormat="false" ht="15" hidden="false" customHeight="false" outlineLevel="0" collapsed="false">
      <c r="A115" s="58" t="s">
        <v>243</v>
      </c>
      <c r="B115" s="69"/>
      <c r="C115" s="69"/>
      <c r="D115" s="69"/>
      <c r="E115" s="70"/>
      <c r="F115" s="81" t="n">
        <v>-0.71</v>
      </c>
      <c r="G115" s="70"/>
      <c r="H115" s="62"/>
      <c r="I115" s="36" t="n">
        <v>-2.775</v>
      </c>
      <c r="J115" s="36" t="n">
        <v>-2.92</v>
      </c>
      <c r="K115" s="79" t="n">
        <v>-1.281</v>
      </c>
      <c r="N115" s="58" t="s">
        <v>223</v>
      </c>
      <c r="O115" s="69"/>
      <c r="P115" s="69"/>
      <c r="Q115" s="69"/>
      <c r="R115" s="70"/>
      <c r="S115" s="70"/>
      <c r="T115" s="70"/>
      <c r="U115" s="62"/>
      <c r="V115" s="62"/>
      <c r="W115" s="62"/>
      <c r="X115" s="79"/>
    </row>
    <row r="116" customFormat="false" ht="15" hidden="false" customHeight="false" outlineLevel="0" collapsed="false">
      <c r="A116" s="58" t="s">
        <v>250</v>
      </c>
      <c r="B116" s="69"/>
      <c r="C116" s="69"/>
      <c r="D116" s="69"/>
      <c r="E116" s="70"/>
      <c r="F116" s="70"/>
      <c r="G116" s="70"/>
      <c r="H116" s="62"/>
      <c r="I116" s="36" t="n">
        <v>-3.02</v>
      </c>
      <c r="J116" s="36" t="n">
        <v>-3.2125</v>
      </c>
      <c r="K116" s="79" t="n">
        <v>-1.2465</v>
      </c>
      <c r="N116" s="58" t="s">
        <v>250</v>
      </c>
      <c r="O116" s="69"/>
      <c r="P116" s="69"/>
      <c r="Q116" s="69"/>
      <c r="R116" s="70"/>
      <c r="S116" s="70"/>
      <c r="T116" s="81" t="n">
        <v>-3.02</v>
      </c>
      <c r="U116" s="62"/>
      <c r="V116" s="62"/>
      <c r="W116" s="36" t="n">
        <v>-3.2125</v>
      </c>
      <c r="X116" s="79" t="n">
        <v>-1.2465</v>
      </c>
    </row>
    <row r="117" customFormat="false" ht="17.35" hidden="false" customHeight="false" outlineLevel="0" collapsed="false">
      <c r="A117" s="13" t="s">
        <v>328</v>
      </c>
      <c r="B117" s="13"/>
      <c r="C117" s="13"/>
      <c r="D117" s="13"/>
      <c r="E117" s="13"/>
      <c r="F117" s="79" t="n">
        <v>-0.142</v>
      </c>
      <c r="G117" s="79"/>
      <c r="H117" s="79"/>
      <c r="I117" s="79" t="n">
        <v>-1.684</v>
      </c>
      <c r="J117" s="79" t="n">
        <v>-1.2265</v>
      </c>
      <c r="K117" s="74" t="n">
        <v>-2.57983333333333</v>
      </c>
      <c r="N117" s="13" t="s">
        <v>329</v>
      </c>
      <c r="O117" s="13"/>
      <c r="P117" s="13"/>
      <c r="Q117" s="13"/>
      <c r="R117" s="13"/>
      <c r="S117" s="79" t="n">
        <v>-0.142</v>
      </c>
      <c r="T117" s="79" t="n">
        <v>-1.684</v>
      </c>
      <c r="U117" s="79"/>
      <c r="V117" s="79"/>
      <c r="W117" s="79" t="n">
        <v>-1.2265</v>
      </c>
      <c r="X117" s="74" t="n">
        <v>-2.57983333333333</v>
      </c>
    </row>
    <row r="119" customFormat="false" ht="15" hidden="false" customHeight="false" outlineLevel="0" collapsed="false">
      <c r="A119" s="58" t="s">
        <v>271</v>
      </c>
      <c r="B119" s="58" t="s">
        <v>169</v>
      </c>
      <c r="C119" s="58" t="s">
        <v>172</v>
      </c>
      <c r="D119" s="58" t="s">
        <v>175</v>
      </c>
      <c r="E119" s="58" t="s">
        <v>270</v>
      </c>
      <c r="G119" s="58" t="s">
        <v>262</v>
      </c>
      <c r="H119" s="58" t="s">
        <v>169</v>
      </c>
      <c r="I119" s="58" t="s">
        <v>172</v>
      </c>
      <c r="J119" s="58" t="s">
        <v>175</v>
      </c>
      <c r="K119" s="58" t="s">
        <v>270</v>
      </c>
      <c r="N119" s="58" t="s">
        <v>271</v>
      </c>
      <c r="O119" s="58" t="s">
        <v>169</v>
      </c>
      <c r="P119" s="58" t="s">
        <v>172</v>
      </c>
      <c r="Q119" s="58" t="s">
        <v>175</v>
      </c>
      <c r="R119" s="58" t="s">
        <v>270</v>
      </c>
      <c r="T119" s="58" t="s">
        <v>262</v>
      </c>
      <c r="U119" s="58" t="s">
        <v>169</v>
      </c>
      <c r="V119" s="58" t="s">
        <v>172</v>
      </c>
      <c r="W119" s="58" t="s">
        <v>175</v>
      </c>
      <c r="X119" s="58" t="s">
        <v>270</v>
      </c>
    </row>
    <row r="120" customFormat="false" ht="15" hidden="false" customHeight="false" outlineLevel="0" collapsed="false">
      <c r="A120" s="58" t="s">
        <v>186</v>
      </c>
      <c r="B120" s="78" t="n">
        <v>2.36333333333333</v>
      </c>
      <c r="C120" s="62"/>
      <c r="D120" s="62"/>
      <c r="E120" s="74" t="n">
        <v>2.36333333333333</v>
      </c>
      <c r="G120" s="58" t="s">
        <v>186</v>
      </c>
      <c r="H120" s="78" t="n">
        <v>13.009771090417</v>
      </c>
      <c r="I120" s="36" t="n">
        <v>0</v>
      </c>
      <c r="J120" s="36" t="n">
        <v>0</v>
      </c>
      <c r="K120" s="74" t="n">
        <v>13.009771090417</v>
      </c>
      <c r="N120" s="58" t="s">
        <v>186</v>
      </c>
      <c r="O120" s="78" t="n">
        <v>2.63333333333333</v>
      </c>
      <c r="P120" s="62"/>
      <c r="Q120" s="62"/>
      <c r="R120" s="74" t="n">
        <v>2.63333333333333</v>
      </c>
      <c r="T120" s="58" t="s">
        <v>177</v>
      </c>
      <c r="U120" s="78" t="n">
        <v>14.496077801734</v>
      </c>
      <c r="V120" s="36" t="n">
        <v>0</v>
      </c>
      <c r="W120" s="36" t="n">
        <v>0</v>
      </c>
      <c r="X120" s="74" t="n">
        <v>14.496077801734</v>
      </c>
    </row>
    <row r="121" customFormat="false" ht="15" hidden="false" customHeight="false" outlineLevel="0" collapsed="false">
      <c r="A121" s="58" t="s">
        <v>215</v>
      </c>
      <c r="B121" s="62"/>
      <c r="C121" s="69"/>
      <c r="D121" s="81" t="n">
        <v>-2.625</v>
      </c>
      <c r="E121" s="74" t="n">
        <v>-2.625</v>
      </c>
      <c r="G121" s="58" t="s">
        <v>215</v>
      </c>
      <c r="H121" s="36" t="n">
        <v>0</v>
      </c>
      <c r="I121" s="80" t="n">
        <v>0</v>
      </c>
      <c r="J121" s="81" t="n">
        <v>-14.4502041378045</v>
      </c>
      <c r="K121" s="74" t="n">
        <v>-14.4502041378045</v>
      </c>
      <c r="N121" s="58" t="s">
        <v>215</v>
      </c>
      <c r="O121" s="62"/>
      <c r="P121" s="80" t="n">
        <v>-6.38</v>
      </c>
      <c r="Q121" s="81" t="n">
        <v>-2.92</v>
      </c>
      <c r="R121" s="74" t="n">
        <v>-9.3</v>
      </c>
      <c r="T121" s="58" t="s">
        <v>215</v>
      </c>
      <c r="U121" s="36" t="n">
        <v>0</v>
      </c>
      <c r="V121" s="80" t="n">
        <v>-35.1208771044543</v>
      </c>
      <c r="W121" s="81" t="n">
        <v>-16.0741318409101</v>
      </c>
      <c r="X121" s="74" t="n">
        <v>-51.1950089453645</v>
      </c>
    </row>
    <row r="122" customFormat="false" ht="15" hidden="false" customHeight="false" outlineLevel="0" collapsed="false">
      <c r="A122" s="58" t="s">
        <v>243</v>
      </c>
      <c r="B122" s="69"/>
      <c r="C122" s="81" t="n">
        <v>-0.71</v>
      </c>
      <c r="D122" s="36" t="n">
        <v>-11.9275</v>
      </c>
      <c r="E122" s="74" t="n">
        <v>-12.6375</v>
      </c>
      <c r="G122" s="58" t="s">
        <v>243</v>
      </c>
      <c r="H122" s="80" t="n">
        <v>0</v>
      </c>
      <c r="I122" s="81" t="n">
        <v>-3.90843616679664</v>
      </c>
      <c r="J122" s="36" t="n">
        <v>-65.6589751823478</v>
      </c>
      <c r="K122" s="74" t="n">
        <v>-69.5674113491445</v>
      </c>
      <c r="N122" s="58" t="s">
        <v>243</v>
      </c>
      <c r="O122" s="69"/>
      <c r="P122" s="81" t="n">
        <v>-3.02</v>
      </c>
      <c r="Q122" s="36" t="n">
        <v>-3.2125</v>
      </c>
      <c r="R122" s="74" t="n">
        <v>-6.2325</v>
      </c>
      <c r="T122" s="58" t="s">
        <v>243</v>
      </c>
      <c r="U122" s="80" t="n">
        <v>0</v>
      </c>
      <c r="V122" s="81" t="n">
        <v>-16.6246158080646</v>
      </c>
      <c r="W122" s="36" t="n">
        <v>-17.6842974448369</v>
      </c>
      <c r="X122" s="74" t="n">
        <v>-34.3089132529015</v>
      </c>
    </row>
    <row r="123" customFormat="false" ht="15" hidden="false" customHeight="false" outlineLevel="0" collapsed="false">
      <c r="A123" s="58" t="s">
        <v>270</v>
      </c>
      <c r="B123" s="74" t="n">
        <v>2.36333333333333</v>
      </c>
      <c r="C123" s="74" t="n">
        <v>-0.71</v>
      </c>
      <c r="D123" s="74" t="n">
        <v>-14.5525</v>
      </c>
      <c r="E123" s="74" t="n">
        <v>-12.8991666666667</v>
      </c>
      <c r="G123" s="58" t="s">
        <v>270</v>
      </c>
      <c r="H123" s="74" t="n">
        <v>13.009771090417</v>
      </c>
      <c r="I123" s="74" t="n">
        <v>-3.90843616679664</v>
      </c>
      <c r="J123" s="74" t="n">
        <v>-80.1091793201523</v>
      </c>
      <c r="K123" s="74" t="n">
        <v>-71.007844396532</v>
      </c>
      <c r="N123" s="58" t="s">
        <v>270</v>
      </c>
      <c r="O123" s="74" t="n">
        <v>2.63333333333333</v>
      </c>
      <c r="P123" s="74" t="n">
        <v>-9.4</v>
      </c>
      <c r="Q123" s="74" t="n">
        <v>-6.1325</v>
      </c>
      <c r="R123" s="74" t="n">
        <v>-12.8991666666667</v>
      </c>
      <c r="T123" s="58" t="s">
        <v>270</v>
      </c>
      <c r="U123" s="74" t="n">
        <v>14.496077801734</v>
      </c>
      <c r="V123" s="74" t="n">
        <v>-51.7454929125189</v>
      </c>
      <c r="W123" s="74" t="n">
        <v>-33.7584292857471</v>
      </c>
      <c r="X123" s="74" t="n">
        <v>-71.007844396532</v>
      </c>
    </row>
    <row r="127" customFormat="false" ht="17.35" hidden="false" customHeight="false" outlineLevel="0" collapsed="false">
      <c r="A127" s="13" t="s">
        <v>330</v>
      </c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N127" s="13" t="s">
        <v>331</v>
      </c>
      <c r="O127" s="13"/>
      <c r="P127" s="13"/>
      <c r="Q127" s="13"/>
      <c r="R127" s="13"/>
      <c r="S127" s="13"/>
      <c r="T127" s="13"/>
      <c r="U127" s="13"/>
      <c r="V127" s="13"/>
      <c r="W127" s="13"/>
      <c r="X127" s="13"/>
    </row>
    <row r="129" customFormat="false" ht="15" hidden="false" customHeight="false" outlineLevel="0" collapsed="false">
      <c r="A129" s="58" t="s">
        <v>312</v>
      </c>
      <c r="B129" s="58" t="s">
        <v>168</v>
      </c>
      <c r="C129" s="58" t="s">
        <v>169</v>
      </c>
      <c r="D129" s="58" t="s">
        <v>170</v>
      </c>
      <c r="E129" s="58" t="s">
        <v>171</v>
      </c>
      <c r="F129" s="58" t="s">
        <v>172</v>
      </c>
      <c r="G129" s="58" t="s">
        <v>173</v>
      </c>
      <c r="H129" s="58" t="s">
        <v>174</v>
      </c>
      <c r="I129" s="58" t="s">
        <v>175</v>
      </c>
      <c r="J129" s="58" t="s">
        <v>176</v>
      </c>
      <c r="K129" s="58" t="s">
        <v>319</v>
      </c>
      <c r="N129" s="58" t="s">
        <v>312</v>
      </c>
      <c r="O129" s="58" t="s">
        <v>168</v>
      </c>
      <c r="P129" s="58" t="s">
        <v>171</v>
      </c>
      <c r="Q129" s="58" t="s">
        <v>174</v>
      </c>
      <c r="R129" s="58" t="s">
        <v>169</v>
      </c>
      <c r="S129" s="58" t="s">
        <v>172</v>
      </c>
      <c r="T129" s="58" t="s">
        <v>175</v>
      </c>
      <c r="U129" s="58" t="s">
        <v>170</v>
      </c>
      <c r="V129" s="58" t="s">
        <v>173</v>
      </c>
      <c r="W129" s="58" t="s">
        <v>176</v>
      </c>
      <c r="X129" s="58" t="s">
        <v>319</v>
      </c>
    </row>
    <row r="130" customFormat="false" ht="15" hidden="false" customHeight="false" outlineLevel="0" collapsed="false">
      <c r="A130" s="58" t="s">
        <v>177</v>
      </c>
      <c r="B130" s="78" t="n">
        <v>3.7</v>
      </c>
      <c r="C130" s="67"/>
      <c r="D130" s="67"/>
      <c r="E130" s="62"/>
      <c r="F130" s="62"/>
      <c r="G130" s="62"/>
      <c r="H130" s="62"/>
      <c r="I130" s="62"/>
      <c r="J130" s="62"/>
      <c r="K130" s="79" t="n">
        <v>0.74</v>
      </c>
      <c r="N130" s="58" t="s">
        <v>177</v>
      </c>
      <c r="O130" s="78" t="n">
        <v>3.7</v>
      </c>
      <c r="P130" s="67"/>
      <c r="Q130" s="67"/>
      <c r="R130" s="62"/>
      <c r="S130" s="62"/>
      <c r="T130" s="62"/>
      <c r="U130" s="62"/>
      <c r="V130" s="62"/>
      <c r="W130" s="62"/>
      <c r="X130" s="79" t="n">
        <v>0.74</v>
      </c>
    </row>
    <row r="131" customFormat="false" ht="15" hidden="false" customHeight="false" outlineLevel="0" collapsed="false">
      <c r="A131" s="58" t="s">
        <v>186</v>
      </c>
      <c r="B131" s="67"/>
      <c r="C131" s="78" t="n">
        <v>1.26</v>
      </c>
      <c r="D131" s="67"/>
      <c r="E131" s="62"/>
      <c r="F131" s="62"/>
      <c r="G131" s="62"/>
      <c r="H131" s="62"/>
      <c r="I131" s="62"/>
      <c r="J131" s="62"/>
      <c r="K131" s="79" t="n">
        <v>0.252</v>
      </c>
      <c r="N131" s="58" t="s">
        <v>205</v>
      </c>
      <c r="O131" s="67"/>
      <c r="P131" s="67"/>
      <c r="Q131" s="67"/>
      <c r="R131" s="62"/>
      <c r="S131" s="62"/>
      <c r="T131" s="62"/>
      <c r="U131" s="62"/>
      <c r="V131" s="62"/>
      <c r="W131" s="62"/>
      <c r="X131" s="79"/>
    </row>
    <row r="132" customFormat="false" ht="15" hidden="false" customHeight="false" outlineLevel="0" collapsed="false">
      <c r="A132" s="58" t="s">
        <v>195</v>
      </c>
      <c r="B132" s="67"/>
      <c r="C132" s="67"/>
      <c r="D132" s="67"/>
      <c r="E132" s="62"/>
      <c r="F132" s="62"/>
      <c r="G132" s="62"/>
      <c r="H132" s="62"/>
      <c r="I132" s="62"/>
      <c r="J132" s="62"/>
      <c r="K132" s="79"/>
      <c r="N132" s="58" t="s">
        <v>233</v>
      </c>
      <c r="O132" s="67"/>
      <c r="P132" s="67"/>
      <c r="Q132" s="67"/>
      <c r="R132" s="62"/>
      <c r="S132" s="62"/>
      <c r="T132" s="62"/>
      <c r="U132" s="62"/>
      <c r="V132" s="62"/>
      <c r="W132" s="62"/>
      <c r="X132" s="79"/>
    </row>
    <row r="133" customFormat="false" ht="15" hidden="false" customHeight="false" outlineLevel="0" collapsed="false">
      <c r="A133" s="58" t="s">
        <v>205</v>
      </c>
      <c r="B133" s="62"/>
      <c r="C133" s="62"/>
      <c r="D133" s="62"/>
      <c r="E133" s="69"/>
      <c r="F133" s="69"/>
      <c r="G133" s="69"/>
      <c r="H133" s="70"/>
      <c r="I133" s="70"/>
      <c r="J133" s="70"/>
      <c r="K133" s="79"/>
      <c r="N133" s="58" t="s">
        <v>186</v>
      </c>
      <c r="O133" s="62"/>
      <c r="P133" s="62"/>
      <c r="Q133" s="62"/>
      <c r="R133" s="80" t="n">
        <v>1.26</v>
      </c>
      <c r="S133" s="69"/>
      <c r="T133" s="69"/>
      <c r="U133" s="70"/>
      <c r="V133" s="70"/>
      <c r="W133" s="70"/>
      <c r="X133" s="79" t="n">
        <v>0.252</v>
      </c>
    </row>
    <row r="134" customFormat="false" ht="15" hidden="false" customHeight="false" outlineLevel="0" collapsed="false">
      <c r="A134" s="58" t="s">
        <v>215</v>
      </c>
      <c r="B134" s="62"/>
      <c r="C134" s="62"/>
      <c r="D134" s="62"/>
      <c r="E134" s="69"/>
      <c r="F134" s="80" t="n">
        <v>0</v>
      </c>
      <c r="G134" s="69"/>
      <c r="H134" s="70"/>
      <c r="I134" s="81" t="n">
        <v>-0.63</v>
      </c>
      <c r="J134" s="70"/>
      <c r="K134" s="79" t="n">
        <v>-0.126</v>
      </c>
      <c r="N134" s="58" t="s">
        <v>215</v>
      </c>
      <c r="O134" s="62"/>
      <c r="P134" s="62"/>
      <c r="Q134" s="62"/>
      <c r="R134" s="69"/>
      <c r="S134" s="80" t="n">
        <v>0</v>
      </c>
      <c r="T134" s="80" t="n">
        <v>-0.63</v>
      </c>
      <c r="U134" s="70"/>
      <c r="V134" s="70"/>
      <c r="W134" s="70"/>
      <c r="X134" s="79" t="n">
        <v>-0.126</v>
      </c>
    </row>
    <row r="135" customFormat="false" ht="15" hidden="false" customHeight="false" outlineLevel="0" collapsed="false">
      <c r="A135" s="58" t="s">
        <v>223</v>
      </c>
      <c r="B135" s="62"/>
      <c r="C135" s="62"/>
      <c r="D135" s="62"/>
      <c r="E135" s="69"/>
      <c r="F135" s="69"/>
      <c r="G135" s="69"/>
      <c r="H135" s="70"/>
      <c r="I135" s="70"/>
      <c r="J135" s="70"/>
      <c r="K135" s="79"/>
      <c r="N135" s="58" t="s">
        <v>243</v>
      </c>
      <c r="O135" s="62"/>
      <c r="P135" s="62"/>
      <c r="Q135" s="62"/>
      <c r="R135" s="69"/>
      <c r="S135" s="80" t="n">
        <v>-0.71</v>
      </c>
      <c r="T135" s="80" t="n">
        <v>-1.26</v>
      </c>
      <c r="U135" s="70"/>
      <c r="V135" s="70"/>
      <c r="W135" s="81" t="n">
        <v>-2.86</v>
      </c>
      <c r="X135" s="79" t="n">
        <v>-0.966</v>
      </c>
    </row>
    <row r="136" customFormat="false" ht="15" hidden="false" customHeight="false" outlineLevel="0" collapsed="false">
      <c r="A136" s="58" t="s">
        <v>233</v>
      </c>
      <c r="B136" s="69"/>
      <c r="C136" s="69"/>
      <c r="D136" s="69"/>
      <c r="E136" s="70"/>
      <c r="F136" s="70"/>
      <c r="G136" s="70"/>
      <c r="H136" s="62"/>
      <c r="I136" s="62"/>
      <c r="J136" s="62"/>
      <c r="K136" s="79"/>
      <c r="N136" s="58" t="s">
        <v>195</v>
      </c>
      <c r="O136" s="69"/>
      <c r="P136" s="69"/>
      <c r="Q136" s="69"/>
      <c r="R136" s="70"/>
      <c r="S136" s="70"/>
      <c r="T136" s="70"/>
      <c r="U136" s="62"/>
      <c r="V136" s="62"/>
      <c r="W136" s="62"/>
      <c r="X136" s="79"/>
    </row>
    <row r="137" customFormat="false" ht="15" hidden="false" customHeight="false" outlineLevel="0" collapsed="false">
      <c r="A137" s="58" t="s">
        <v>243</v>
      </c>
      <c r="B137" s="69"/>
      <c r="C137" s="69"/>
      <c r="D137" s="69"/>
      <c r="E137" s="70"/>
      <c r="F137" s="81" t="n">
        <v>-0.71</v>
      </c>
      <c r="G137" s="70"/>
      <c r="H137" s="62"/>
      <c r="I137" s="36" t="n">
        <v>-1.26</v>
      </c>
      <c r="J137" s="36" t="n">
        <v>-2.86</v>
      </c>
      <c r="K137" s="79" t="n">
        <v>-0.966</v>
      </c>
      <c r="N137" s="58" t="s">
        <v>223</v>
      </c>
      <c r="O137" s="69"/>
      <c r="P137" s="69"/>
      <c r="Q137" s="69"/>
      <c r="R137" s="70"/>
      <c r="S137" s="70"/>
      <c r="T137" s="70"/>
      <c r="U137" s="62"/>
      <c r="V137" s="62"/>
      <c r="W137" s="62"/>
      <c r="X137" s="79"/>
    </row>
    <row r="138" customFormat="false" ht="15" hidden="false" customHeight="false" outlineLevel="0" collapsed="false">
      <c r="A138" s="58" t="s">
        <v>250</v>
      </c>
      <c r="B138" s="69"/>
      <c r="C138" s="69"/>
      <c r="D138" s="69"/>
      <c r="E138" s="70"/>
      <c r="F138" s="70"/>
      <c r="G138" s="70"/>
      <c r="H138" s="62"/>
      <c r="I138" s="36" t="n">
        <v>-2.69</v>
      </c>
      <c r="J138" s="36" t="n">
        <v>-3.2025</v>
      </c>
      <c r="K138" s="79" t="n">
        <v>-1.1785</v>
      </c>
      <c r="N138" s="58" t="s">
        <v>250</v>
      </c>
      <c r="O138" s="69"/>
      <c r="P138" s="69"/>
      <c r="Q138" s="69"/>
      <c r="R138" s="70"/>
      <c r="S138" s="70"/>
      <c r="T138" s="81" t="n">
        <v>-2.69</v>
      </c>
      <c r="U138" s="62"/>
      <c r="V138" s="62"/>
      <c r="W138" s="36" t="n">
        <v>-3.2025</v>
      </c>
      <c r="X138" s="79" t="n">
        <v>-1.1785</v>
      </c>
    </row>
    <row r="139" customFormat="false" ht="17.35" hidden="false" customHeight="false" outlineLevel="0" collapsed="false">
      <c r="A139" s="13" t="s">
        <v>332</v>
      </c>
      <c r="B139" s="13"/>
      <c r="C139" s="13"/>
      <c r="D139" s="13"/>
      <c r="E139" s="13"/>
      <c r="F139" s="79" t="n">
        <v>-0.142</v>
      </c>
      <c r="G139" s="79"/>
      <c r="H139" s="79"/>
      <c r="I139" s="79" t="n">
        <v>-0.916</v>
      </c>
      <c r="J139" s="79" t="n">
        <v>-1.2125</v>
      </c>
      <c r="K139" s="74" t="n">
        <v>-1.2785</v>
      </c>
      <c r="N139" s="13" t="s">
        <v>333</v>
      </c>
      <c r="O139" s="13"/>
      <c r="P139" s="13"/>
      <c r="Q139" s="13"/>
      <c r="R139" s="13"/>
      <c r="S139" s="79" t="n">
        <v>-0.142</v>
      </c>
      <c r="T139" s="79" t="n">
        <v>-0.916</v>
      </c>
      <c r="U139" s="79"/>
      <c r="V139" s="79"/>
      <c r="W139" s="79" t="n">
        <v>-1.2125</v>
      </c>
      <c r="X139" s="74" t="n">
        <v>-1.2785</v>
      </c>
    </row>
    <row r="141" customFormat="false" ht="15" hidden="false" customHeight="false" outlineLevel="0" collapsed="false">
      <c r="A141" s="58" t="s">
        <v>271</v>
      </c>
      <c r="B141" s="58" t="s">
        <v>169</v>
      </c>
      <c r="C141" s="58" t="s">
        <v>172</v>
      </c>
      <c r="D141" s="58" t="s">
        <v>175</v>
      </c>
      <c r="E141" s="58" t="s">
        <v>270</v>
      </c>
      <c r="G141" s="58" t="s">
        <v>262</v>
      </c>
      <c r="H141" s="58" t="s">
        <v>169</v>
      </c>
      <c r="I141" s="58" t="s">
        <v>172</v>
      </c>
      <c r="J141" s="58" t="s">
        <v>175</v>
      </c>
      <c r="K141" s="58" t="s">
        <v>270</v>
      </c>
      <c r="N141" s="58" t="s">
        <v>271</v>
      </c>
      <c r="O141" s="58" t="s">
        <v>169</v>
      </c>
      <c r="P141" s="58" t="s">
        <v>172</v>
      </c>
      <c r="Q141" s="58" t="s">
        <v>175</v>
      </c>
      <c r="R141" s="58" t="s">
        <v>270</v>
      </c>
      <c r="T141" s="58" t="s">
        <v>262</v>
      </c>
      <c r="U141" s="58" t="s">
        <v>169</v>
      </c>
      <c r="V141" s="58" t="s">
        <v>172</v>
      </c>
      <c r="W141" s="58" t="s">
        <v>175</v>
      </c>
      <c r="X141" s="58" t="s">
        <v>270</v>
      </c>
    </row>
    <row r="142" customFormat="false" ht="15" hidden="false" customHeight="false" outlineLevel="0" collapsed="false">
      <c r="A142" s="58" t="s">
        <v>186</v>
      </c>
      <c r="B142" s="78" t="n">
        <v>4.96</v>
      </c>
      <c r="C142" s="62"/>
      <c r="D142" s="62"/>
      <c r="E142" s="74" t="n">
        <v>4.96</v>
      </c>
      <c r="G142" s="58" t="s">
        <v>186</v>
      </c>
      <c r="H142" s="78" t="n">
        <v>30.4061302681992</v>
      </c>
      <c r="I142" s="36" t="n">
        <v>0</v>
      </c>
      <c r="J142" s="36" t="n">
        <v>0</v>
      </c>
      <c r="K142" s="74" t="n">
        <v>30.4061302681992</v>
      </c>
      <c r="N142" s="58" t="s">
        <v>186</v>
      </c>
      <c r="O142" s="78" t="n">
        <v>3.7</v>
      </c>
      <c r="P142" s="62"/>
      <c r="Q142" s="62"/>
      <c r="R142" s="74" t="n">
        <v>3.7</v>
      </c>
      <c r="T142" s="58" t="s">
        <v>177</v>
      </c>
      <c r="U142" s="78" t="n">
        <v>22.6819923371648</v>
      </c>
      <c r="V142" s="36" t="n">
        <v>0</v>
      </c>
      <c r="W142" s="36" t="n">
        <v>0</v>
      </c>
      <c r="X142" s="74" t="n">
        <v>22.6819923371648</v>
      </c>
    </row>
    <row r="143" customFormat="false" ht="15" hidden="false" customHeight="false" outlineLevel="0" collapsed="false">
      <c r="A143" s="58" t="s">
        <v>215</v>
      </c>
      <c r="B143" s="62"/>
      <c r="C143" s="69"/>
      <c r="D143" s="81" t="n">
        <v>-0.63</v>
      </c>
      <c r="E143" s="74" t="n">
        <v>-0.63</v>
      </c>
      <c r="G143" s="58" t="s">
        <v>215</v>
      </c>
      <c r="H143" s="36" t="n">
        <v>0</v>
      </c>
      <c r="I143" s="80" t="n">
        <v>0</v>
      </c>
      <c r="J143" s="81" t="n">
        <v>-3.86206896551724</v>
      </c>
      <c r="K143" s="74" t="n">
        <v>-3.86206896551724</v>
      </c>
      <c r="N143" s="58" t="s">
        <v>215</v>
      </c>
      <c r="O143" s="62"/>
      <c r="P143" s="80" t="n">
        <v>-1.34</v>
      </c>
      <c r="Q143" s="81" t="n">
        <v>-2.86</v>
      </c>
      <c r="R143" s="74" t="n">
        <v>-4.2</v>
      </c>
      <c r="T143" s="58" t="s">
        <v>215</v>
      </c>
      <c r="U143" s="36" t="n">
        <v>0</v>
      </c>
      <c r="V143" s="80" t="n">
        <v>-8.21455938697318</v>
      </c>
      <c r="W143" s="81" t="n">
        <v>-17.5325670498084</v>
      </c>
      <c r="X143" s="74" t="n">
        <v>-25.7471264367816</v>
      </c>
    </row>
    <row r="144" customFormat="false" ht="15" hidden="false" customHeight="false" outlineLevel="0" collapsed="false">
      <c r="A144" s="58" t="s">
        <v>243</v>
      </c>
      <c r="B144" s="69"/>
      <c r="C144" s="81" t="n">
        <v>-0.71</v>
      </c>
      <c r="D144" s="36" t="n">
        <v>-10.0125</v>
      </c>
      <c r="E144" s="74" t="n">
        <v>-10.7225</v>
      </c>
      <c r="G144" s="58" t="s">
        <v>243</v>
      </c>
      <c r="H144" s="80" t="n">
        <v>0</v>
      </c>
      <c r="I144" s="81" t="n">
        <v>-4.35249042145594</v>
      </c>
      <c r="J144" s="36" t="n">
        <v>-61.3793103448276</v>
      </c>
      <c r="K144" s="74" t="n">
        <v>-65.7318007662835</v>
      </c>
      <c r="N144" s="58" t="s">
        <v>243</v>
      </c>
      <c r="O144" s="69"/>
      <c r="P144" s="81" t="n">
        <v>-2.69</v>
      </c>
      <c r="Q144" s="36" t="n">
        <v>-3.2025</v>
      </c>
      <c r="R144" s="74" t="n">
        <v>-5.8925</v>
      </c>
      <c r="T144" s="58" t="s">
        <v>243</v>
      </c>
      <c r="U144" s="80" t="n">
        <v>0</v>
      </c>
      <c r="V144" s="81" t="n">
        <v>-16.4904214559387</v>
      </c>
      <c r="W144" s="36" t="n">
        <v>-19.632183908046</v>
      </c>
      <c r="X144" s="74" t="n">
        <v>-36.1226053639847</v>
      </c>
    </row>
    <row r="145" customFormat="false" ht="15" hidden="false" customHeight="false" outlineLevel="0" collapsed="false">
      <c r="A145" s="58" t="s">
        <v>270</v>
      </c>
      <c r="B145" s="74" t="n">
        <v>4.96</v>
      </c>
      <c r="C145" s="74" t="n">
        <v>-0.71</v>
      </c>
      <c r="D145" s="74" t="n">
        <v>-10.6425</v>
      </c>
      <c r="E145" s="74" t="n">
        <v>-6.3925</v>
      </c>
      <c r="G145" s="58" t="s">
        <v>270</v>
      </c>
      <c r="H145" s="74" t="n">
        <v>30.4061302681992</v>
      </c>
      <c r="I145" s="74" t="n">
        <v>-4.35249042145594</v>
      </c>
      <c r="J145" s="74" t="n">
        <v>-65.2413793103448</v>
      </c>
      <c r="K145" s="74" t="n">
        <v>-39.1877394636015</v>
      </c>
      <c r="N145" s="58" t="s">
        <v>270</v>
      </c>
      <c r="O145" s="74" t="n">
        <v>3.7</v>
      </c>
      <c r="P145" s="74" t="n">
        <v>-4.03</v>
      </c>
      <c r="Q145" s="74" t="n">
        <v>-6.0625</v>
      </c>
      <c r="R145" s="74" t="n">
        <v>-6.3925</v>
      </c>
      <c r="T145" s="58" t="s">
        <v>270</v>
      </c>
      <c r="U145" s="74" t="n">
        <v>22.6819923371648</v>
      </c>
      <c r="V145" s="74" t="n">
        <v>-24.7049808429119</v>
      </c>
      <c r="W145" s="74" t="n">
        <v>-37.1647509578544</v>
      </c>
      <c r="X145" s="74" t="n">
        <v>-39.1877394636015</v>
      </c>
    </row>
    <row r="149" customFormat="false" ht="17.35" hidden="false" customHeight="false" outlineLevel="0" collapsed="false">
      <c r="A149" s="13" t="s">
        <v>334</v>
      </c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N149" s="13" t="s">
        <v>335</v>
      </c>
      <c r="O149" s="13"/>
      <c r="P149" s="13"/>
      <c r="Q149" s="13"/>
      <c r="R149" s="13"/>
      <c r="S149" s="13"/>
      <c r="T149" s="13"/>
      <c r="U149" s="13"/>
      <c r="V149" s="13"/>
      <c r="W149" s="13"/>
      <c r="X149" s="13"/>
    </row>
    <row r="151" customFormat="false" ht="15" hidden="false" customHeight="false" outlineLevel="0" collapsed="false">
      <c r="A151" s="58" t="s">
        <v>312</v>
      </c>
      <c r="B151" s="58" t="s">
        <v>168</v>
      </c>
      <c r="C151" s="58" t="s">
        <v>169</v>
      </c>
      <c r="D151" s="58" t="s">
        <v>170</v>
      </c>
      <c r="E151" s="58" t="s">
        <v>171</v>
      </c>
      <c r="F151" s="58" t="s">
        <v>172</v>
      </c>
      <c r="G151" s="58" t="s">
        <v>173</v>
      </c>
      <c r="H151" s="58" t="s">
        <v>174</v>
      </c>
      <c r="I151" s="58" t="s">
        <v>175</v>
      </c>
      <c r="J151" s="58" t="s">
        <v>176</v>
      </c>
      <c r="K151" s="58" t="s">
        <v>319</v>
      </c>
      <c r="N151" s="58" t="s">
        <v>312</v>
      </c>
      <c r="O151" s="58" t="s">
        <v>168</v>
      </c>
      <c r="P151" s="58" t="s">
        <v>171</v>
      </c>
      <c r="Q151" s="58" t="s">
        <v>174</v>
      </c>
      <c r="R151" s="58" t="s">
        <v>169</v>
      </c>
      <c r="S151" s="58" t="s">
        <v>172</v>
      </c>
      <c r="T151" s="58" t="s">
        <v>175</v>
      </c>
      <c r="U151" s="58" t="s">
        <v>170</v>
      </c>
      <c r="V151" s="58" t="s">
        <v>173</v>
      </c>
      <c r="W151" s="58" t="s">
        <v>176</v>
      </c>
      <c r="X151" s="58" t="s">
        <v>319</v>
      </c>
    </row>
    <row r="152" customFormat="false" ht="15" hidden="false" customHeight="false" outlineLevel="0" collapsed="false">
      <c r="A152" s="58" t="s">
        <v>177</v>
      </c>
      <c r="B152" s="78" t="n">
        <v>6.33333333333333</v>
      </c>
      <c r="C152" s="67"/>
      <c r="D152" s="67"/>
      <c r="E152" s="62"/>
      <c r="F152" s="62"/>
      <c r="G152" s="62"/>
      <c r="H152" s="62"/>
      <c r="I152" s="62"/>
      <c r="J152" s="62"/>
      <c r="K152" s="79" t="n">
        <v>1.26666666666667</v>
      </c>
      <c r="N152" s="58" t="s">
        <v>177</v>
      </c>
      <c r="O152" s="78" t="n">
        <v>6.33333333333333</v>
      </c>
      <c r="P152" s="67"/>
      <c r="Q152" s="67"/>
      <c r="R152" s="62"/>
      <c r="S152" s="62"/>
      <c r="T152" s="62"/>
      <c r="U152" s="62"/>
      <c r="V152" s="62"/>
      <c r="W152" s="62"/>
      <c r="X152" s="79" t="n">
        <v>1.26666666666667</v>
      </c>
    </row>
    <row r="153" customFormat="false" ht="15" hidden="false" customHeight="false" outlineLevel="0" collapsed="false">
      <c r="A153" s="58" t="s">
        <v>186</v>
      </c>
      <c r="B153" s="67"/>
      <c r="C153" s="78" t="n">
        <v>1</v>
      </c>
      <c r="D153" s="67"/>
      <c r="E153" s="62"/>
      <c r="F153" s="62"/>
      <c r="G153" s="62"/>
      <c r="H153" s="62"/>
      <c r="I153" s="62"/>
      <c r="J153" s="62"/>
      <c r="K153" s="79" t="n">
        <v>0.2</v>
      </c>
      <c r="N153" s="58" t="s">
        <v>205</v>
      </c>
      <c r="O153" s="67"/>
      <c r="P153" s="67"/>
      <c r="Q153" s="67"/>
      <c r="R153" s="62"/>
      <c r="S153" s="62"/>
      <c r="T153" s="62"/>
      <c r="U153" s="62"/>
      <c r="V153" s="62"/>
      <c r="W153" s="62"/>
      <c r="X153" s="79"/>
    </row>
    <row r="154" customFormat="false" ht="15" hidden="false" customHeight="false" outlineLevel="0" collapsed="false">
      <c r="A154" s="58" t="s">
        <v>195</v>
      </c>
      <c r="B154" s="67"/>
      <c r="C154" s="67"/>
      <c r="D154" s="67"/>
      <c r="E154" s="62"/>
      <c r="F154" s="62"/>
      <c r="G154" s="62"/>
      <c r="H154" s="62"/>
      <c r="I154" s="62"/>
      <c r="J154" s="62"/>
      <c r="K154" s="79"/>
      <c r="N154" s="58" t="s">
        <v>233</v>
      </c>
      <c r="O154" s="67"/>
      <c r="P154" s="67"/>
      <c r="Q154" s="67"/>
      <c r="R154" s="62"/>
      <c r="S154" s="62"/>
      <c r="T154" s="62"/>
      <c r="U154" s="62"/>
      <c r="V154" s="62"/>
      <c r="W154" s="62"/>
      <c r="X154" s="79"/>
    </row>
    <row r="155" customFormat="false" ht="15" hidden="false" customHeight="false" outlineLevel="0" collapsed="false">
      <c r="A155" s="58" t="s">
        <v>205</v>
      </c>
      <c r="B155" s="62"/>
      <c r="C155" s="62"/>
      <c r="D155" s="62"/>
      <c r="E155" s="69"/>
      <c r="F155" s="69"/>
      <c r="G155" s="69"/>
      <c r="H155" s="70"/>
      <c r="I155" s="70"/>
      <c r="J155" s="70"/>
      <c r="K155" s="79"/>
      <c r="N155" s="58" t="s">
        <v>186</v>
      </c>
      <c r="O155" s="62"/>
      <c r="P155" s="62"/>
      <c r="Q155" s="62"/>
      <c r="R155" s="80" t="n">
        <v>1</v>
      </c>
      <c r="S155" s="69"/>
      <c r="T155" s="69"/>
      <c r="U155" s="70"/>
      <c r="V155" s="70"/>
      <c r="W155" s="70"/>
      <c r="X155" s="79" t="n">
        <v>0.2</v>
      </c>
    </row>
    <row r="156" customFormat="false" ht="15" hidden="false" customHeight="false" outlineLevel="0" collapsed="false">
      <c r="A156" s="58" t="s">
        <v>215</v>
      </c>
      <c r="B156" s="62"/>
      <c r="C156" s="62"/>
      <c r="D156" s="62"/>
      <c r="E156" s="69"/>
      <c r="F156" s="80" t="n">
        <v>0</v>
      </c>
      <c r="G156" s="69"/>
      <c r="H156" s="70"/>
      <c r="I156" s="81" t="n">
        <v>-1.26</v>
      </c>
      <c r="J156" s="70"/>
      <c r="K156" s="79" t="n">
        <v>-0.252</v>
      </c>
      <c r="N156" s="58" t="s">
        <v>215</v>
      </c>
      <c r="O156" s="62"/>
      <c r="P156" s="62"/>
      <c r="Q156" s="62"/>
      <c r="R156" s="69"/>
      <c r="S156" s="80" t="n">
        <v>0</v>
      </c>
      <c r="T156" s="80" t="n">
        <v>-1.26</v>
      </c>
      <c r="U156" s="70"/>
      <c r="V156" s="70"/>
      <c r="W156" s="70"/>
      <c r="X156" s="79" t="n">
        <v>-0.252</v>
      </c>
    </row>
    <row r="157" customFormat="false" ht="15" hidden="false" customHeight="false" outlineLevel="0" collapsed="false">
      <c r="A157" s="58" t="s">
        <v>223</v>
      </c>
      <c r="B157" s="62"/>
      <c r="C157" s="62"/>
      <c r="D157" s="62"/>
      <c r="E157" s="69"/>
      <c r="F157" s="69"/>
      <c r="G157" s="69"/>
      <c r="H157" s="70"/>
      <c r="I157" s="70"/>
      <c r="J157" s="70"/>
      <c r="K157" s="79"/>
      <c r="N157" s="58" t="s">
        <v>243</v>
      </c>
      <c r="O157" s="62"/>
      <c r="P157" s="62"/>
      <c r="Q157" s="62"/>
      <c r="R157" s="69"/>
      <c r="S157" s="80" t="n">
        <v>-3.28</v>
      </c>
      <c r="T157" s="80" t="n">
        <v>-3.98</v>
      </c>
      <c r="U157" s="70"/>
      <c r="V157" s="70"/>
      <c r="W157" s="81" t="n">
        <v>-5.48</v>
      </c>
      <c r="X157" s="79" t="n">
        <v>-2.548</v>
      </c>
    </row>
    <row r="158" customFormat="false" ht="15" hidden="false" customHeight="false" outlineLevel="0" collapsed="false">
      <c r="A158" s="58" t="s">
        <v>233</v>
      </c>
      <c r="B158" s="69"/>
      <c r="C158" s="69"/>
      <c r="D158" s="69"/>
      <c r="E158" s="70"/>
      <c r="F158" s="70"/>
      <c r="G158" s="70"/>
      <c r="H158" s="62"/>
      <c r="I158" s="62"/>
      <c r="J158" s="62"/>
      <c r="K158" s="79"/>
      <c r="N158" s="58" t="s">
        <v>195</v>
      </c>
      <c r="O158" s="69"/>
      <c r="P158" s="69"/>
      <c r="Q158" s="69"/>
      <c r="R158" s="70"/>
      <c r="S158" s="70"/>
      <c r="T158" s="70"/>
      <c r="U158" s="62"/>
      <c r="V158" s="62"/>
      <c r="W158" s="62"/>
      <c r="X158" s="79"/>
    </row>
    <row r="159" customFormat="false" ht="15" hidden="false" customHeight="false" outlineLevel="0" collapsed="false">
      <c r="A159" s="58" t="s">
        <v>243</v>
      </c>
      <c r="B159" s="69"/>
      <c r="C159" s="69"/>
      <c r="D159" s="69"/>
      <c r="E159" s="70"/>
      <c r="F159" s="81" t="n">
        <v>-3.28</v>
      </c>
      <c r="G159" s="70"/>
      <c r="H159" s="62"/>
      <c r="I159" s="36" t="n">
        <v>-3.98</v>
      </c>
      <c r="J159" s="36" t="n">
        <v>-5.48</v>
      </c>
      <c r="K159" s="79" t="n">
        <v>-2.548</v>
      </c>
      <c r="N159" s="58" t="s">
        <v>223</v>
      </c>
      <c r="O159" s="69"/>
      <c r="P159" s="69"/>
      <c r="Q159" s="69"/>
      <c r="R159" s="70"/>
      <c r="S159" s="70"/>
      <c r="T159" s="70"/>
      <c r="U159" s="62"/>
      <c r="V159" s="62"/>
      <c r="W159" s="62"/>
      <c r="X159" s="79"/>
    </row>
    <row r="160" customFormat="false" ht="15" hidden="false" customHeight="false" outlineLevel="0" collapsed="false">
      <c r="A160" s="58" t="s">
        <v>250</v>
      </c>
      <c r="B160" s="69"/>
      <c r="C160" s="69"/>
      <c r="D160" s="69"/>
      <c r="E160" s="70"/>
      <c r="F160" s="70"/>
      <c r="G160" s="70"/>
      <c r="H160" s="62"/>
      <c r="I160" s="36" t="n">
        <v>-5.99</v>
      </c>
      <c r="J160" s="36" t="n">
        <v>-6.41</v>
      </c>
      <c r="K160" s="79" t="n">
        <v>-2.48</v>
      </c>
      <c r="N160" s="58" t="s">
        <v>250</v>
      </c>
      <c r="O160" s="69"/>
      <c r="P160" s="69"/>
      <c r="Q160" s="69"/>
      <c r="R160" s="70"/>
      <c r="S160" s="70"/>
      <c r="T160" s="81" t="n">
        <v>-5.99</v>
      </c>
      <c r="U160" s="62"/>
      <c r="V160" s="62"/>
      <c r="W160" s="36" t="n">
        <v>-6.41</v>
      </c>
      <c r="X160" s="79" t="n">
        <v>-2.48</v>
      </c>
    </row>
    <row r="161" customFormat="false" ht="17.35" hidden="false" customHeight="false" outlineLevel="0" collapsed="false">
      <c r="A161" s="13" t="s">
        <v>336</v>
      </c>
      <c r="B161" s="13"/>
      <c r="C161" s="13"/>
      <c r="D161" s="13"/>
      <c r="E161" s="13"/>
      <c r="F161" s="79" t="n">
        <v>-0.656</v>
      </c>
      <c r="G161" s="79"/>
      <c r="H161" s="79"/>
      <c r="I161" s="79" t="n">
        <v>-2.246</v>
      </c>
      <c r="J161" s="79" t="n">
        <v>-2.378</v>
      </c>
      <c r="K161" s="74" t="n">
        <v>-3.81333333333333</v>
      </c>
      <c r="N161" s="13" t="s">
        <v>337</v>
      </c>
      <c r="O161" s="13"/>
      <c r="P161" s="13"/>
      <c r="Q161" s="13"/>
      <c r="R161" s="13"/>
      <c r="S161" s="79" t="n">
        <v>-0.656</v>
      </c>
      <c r="T161" s="79" t="n">
        <v>-2.246</v>
      </c>
      <c r="U161" s="79"/>
      <c r="V161" s="79"/>
      <c r="W161" s="79" t="n">
        <v>-2.378</v>
      </c>
      <c r="X161" s="74" t="n">
        <v>-3.81333333333333</v>
      </c>
    </row>
    <row r="163" customFormat="false" ht="15" hidden="false" customHeight="false" outlineLevel="0" collapsed="false">
      <c r="A163" s="58" t="s">
        <v>271</v>
      </c>
      <c r="B163" s="58" t="s">
        <v>169</v>
      </c>
      <c r="C163" s="58" t="s">
        <v>172</v>
      </c>
      <c r="D163" s="58" t="s">
        <v>175</v>
      </c>
      <c r="E163" s="58" t="s">
        <v>270</v>
      </c>
      <c r="G163" s="58" t="s">
        <v>262</v>
      </c>
      <c r="H163" s="58" t="s">
        <v>169</v>
      </c>
      <c r="I163" s="58" t="s">
        <v>172</v>
      </c>
      <c r="J163" s="58" t="s">
        <v>175</v>
      </c>
      <c r="K163" s="58" t="s">
        <v>270</v>
      </c>
      <c r="N163" s="58" t="s">
        <v>271</v>
      </c>
      <c r="O163" s="58" t="s">
        <v>169</v>
      </c>
      <c r="P163" s="58" t="s">
        <v>172</v>
      </c>
      <c r="Q163" s="58" t="s">
        <v>175</v>
      </c>
      <c r="R163" s="58" t="s">
        <v>270</v>
      </c>
      <c r="T163" s="58" t="s">
        <v>262</v>
      </c>
      <c r="U163" s="58" t="s">
        <v>169</v>
      </c>
      <c r="V163" s="58" t="s">
        <v>172</v>
      </c>
      <c r="W163" s="58" t="s">
        <v>175</v>
      </c>
      <c r="X163" s="58" t="s">
        <v>270</v>
      </c>
    </row>
    <row r="164" customFormat="false" ht="15" hidden="false" customHeight="false" outlineLevel="0" collapsed="false">
      <c r="A164" s="58" t="s">
        <v>186</v>
      </c>
      <c r="B164" s="78" t="n">
        <v>7.33333333333333</v>
      </c>
      <c r="C164" s="62"/>
      <c r="D164" s="62"/>
      <c r="E164" s="74" t="n">
        <v>7.33333333333333</v>
      </c>
      <c r="G164" s="58" t="s">
        <v>186</v>
      </c>
      <c r="H164" s="78" t="n">
        <v>21.7391304347826</v>
      </c>
      <c r="I164" s="36" t="n">
        <v>0</v>
      </c>
      <c r="J164" s="36" t="n">
        <v>0</v>
      </c>
      <c r="K164" s="74" t="n">
        <v>21.7391304347826</v>
      </c>
      <c r="N164" s="58" t="s">
        <v>186</v>
      </c>
      <c r="O164" s="78" t="n">
        <v>6.33333333333333</v>
      </c>
      <c r="P164" s="62"/>
      <c r="Q164" s="62"/>
      <c r="R164" s="74" t="n">
        <v>6.33333333333333</v>
      </c>
      <c r="T164" s="58" t="s">
        <v>177</v>
      </c>
      <c r="U164" s="78" t="n">
        <v>18.7747035573123</v>
      </c>
      <c r="V164" s="36" t="n">
        <v>0</v>
      </c>
      <c r="W164" s="36" t="n">
        <v>0</v>
      </c>
      <c r="X164" s="74" t="n">
        <v>18.7747035573123</v>
      </c>
    </row>
    <row r="165" customFormat="false" ht="15" hidden="false" customHeight="false" outlineLevel="0" collapsed="false">
      <c r="A165" s="58" t="s">
        <v>215</v>
      </c>
      <c r="B165" s="62"/>
      <c r="C165" s="69"/>
      <c r="D165" s="81" t="n">
        <v>-1.26</v>
      </c>
      <c r="E165" s="74" t="n">
        <v>-1.26</v>
      </c>
      <c r="G165" s="58" t="s">
        <v>215</v>
      </c>
      <c r="H165" s="36" t="n">
        <v>0</v>
      </c>
      <c r="I165" s="80" t="n">
        <v>0</v>
      </c>
      <c r="J165" s="81" t="n">
        <v>-3.73517786561265</v>
      </c>
      <c r="K165" s="74" t="n">
        <v>-3.73517786561265</v>
      </c>
      <c r="N165" s="58" t="s">
        <v>215</v>
      </c>
      <c r="O165" s="62"/>
      <c r="P165" s="80" t="n">
        <v>-7.52</v>
      </c>
      <c r="Q165" s="81" t="n">
        <v>-5.48</v>
      </c>
      <c r="R165" s="74" t="n">
        <v>-13</v>
      </c>
      <c r="T165" s="58" t="s">
        <v>215</v>
      </c>
      <c r="U165" s="36" t="n">
        <v>0</v>
      </c>
      <c r="V165" s="80" t="n">
        <v>-22.2924901185771</v>
      </c>
      <c r="W165" s="81" t="n">
        <v>-16.2450592885376</v>
      </c>
      <c r="X165" s="74" t="n">
        <v>-38.5375494071146</v>
      </c>
    </row>
    <row r="166" customFormat="false" ht="15" hidden="false" customHeight="false" outlineLevel="0" collapsed="false">
      <c r="A166" s="58" t="s">
        <v>243</v>
      </c>
      <c r="B166" s="69"/>
      <c r="C166" s="81" t="n">
        <v>-3.28</v>
      </c>
      <c r="D166" s="36" t="n">
        <v>-21.86</v>
      </c>
      <c r="E166" s="74" t="n">
        <v>-25.14</v>
      </c>
      <c r="G166" s="58" t="s">
        <v>243</v>
      </c>
      <c r="H166" s="80" t="n">
        <v>0</v>
      </c>
      <c r="I166" s="81" t="n">
        <v>-9.72332015810277</v>
      </c>
      <c r="J166" s="36" t="n">
        <v>-64.802371541502</v>
      </c>
      <c r="K166" s="74" t="n">
        <v>-74.5256916996048</v>
      </c>
      <c r="N166" s="58" t="s">
        <v>243</v>
      </c>
      <c r="O166" s="69"/>
      <c r="P166" s="81" t="n">
        <v>-5.99</v>
      </c>
      <c r="Q166" s="36" t="n">
        <v>-6.41</v>
      </c>
      <c r="R166" s="74" t="n">
        <v>-12.4</v>
      </c>
      <c r="T166" s="58" t="s">
        <v>243</v>
      </c>
      <c r="U166" s="80" t="n">
        <v>0</v>
      </c>
      <c r="V166" s="81" t="n">
        <v>-17.7569169960474</v>
      </c>
      <c r="W166" s="36" t="n">
        <v>-19.001976284585</v>
      </c>
      <c r="X166" s="74" t="n">
        <v>-36.7588932806324</v>
      </c>
    </row>
    <row r="167" customFormat="false" ht="15" hidden="false" customHeight="false" outlineLevel="0" collapsed="false">
      <c r="A167" s="58" t="s">
        <v>270</v>
      </c>
      <c r="B167" s="74" t="n">
        <v>7.33333333333333</v>
      </c>
      <c r="C167" s="74" t="n">
        <v>-3.28</v>
      </c>
      <c r="D167" s="74" t="n">
        <v>-23.12</v>
      </c>
      <c r="E167" s="74" t="n">
        <v>-19.0666666666667</v>
      </c>
      <c r="G167" s="58" t="s">
        <v>270</v>
      </c>
      <c r="H167" s="74" t="n">
        <v>21.7391304347826</v>
      </c>
      <c r="I167" s="74" t="n">
        <v>-9.72332015810277</v>
      </c>
      <c r="J167" s="74" t="n">
        <v>-68.5375494071146</v>
      </c>
      <c r="K167" s="74" t="n">
        <v>-56.5217391304348</v>
      </c>
      <c r="N167" s="58" t="s">
        <v>270</v>
      </c>
      <c r="O167" s="74" t="n">
        <v>6.33333333333333</v>
      </c>
      <c r="P167" s="74" t="n">
        <v>-13.51</v>
      </c>
      <c r="Q167" s="74" t="n">
        <v>-11.89</v>
      </c>
      <c r="R167" s="74" t="n">
        <v>-19.0666666666667</v>
      </c>
      <c r="T167" s="58" t="s">
        <v>270</v>
      </c>
      <c r="U167" s="74" t="n">
        <v>18.7747035573123</v>
      </c>
      <c r="V167" s="74" t="n">
        <v>-40.0494071146245</v>
      </c>
      <c r="W167" s="74" t="n">
        <v>-35.2470355731225</v>
      </c>
      <c r="X167" s="74" t="n">
        <v>-56.5217391304348</v>
      </c>
    </row>
    <row r="171" customFormat="false" ht="17.35" hidden="false" customHeight="false" outlineLevel="0" collapsed="false">
      <c r="A171" s="13" t="s">
        <v>338</v>
      </c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N171" s="13" t="s">
        <v>339</v>
      </c>
      <c r="O171" s="13"/>
      <c r="P171" s="13"/>
      <c r="Q171" s="13"/>
      <c r="R171" s="13"/>
      <c r="S171" s="13"/>
      <c r="T171" s="13"/>
      <c r="U171" s="13"/>
      <c r="V171" s="13"/>
      <c r="W171" s="13"/>
      <c r="X171" s="13"/>
    </row>
    <row r="173" customFormat="false" ht="15" hidden="false" customHeight="false" outlineLevel="0" collapsed="false">
      <c r="A173" s="58" t="s">
        <v>312</v>
      </c>
      <c r="B173" s="58" t="s">
        <v>168</v>
      </c>
      <c r="C173" s="58" t="s">
        <v>169</v>
      </c>
      <c r="D173" s="58" t="s">
        <v>170</v>
      </c>
      <c r="E173" s="58" t="s">
        <v>171</v>
      </c>
      <c r="F173" s="58" t="s">
        <v>172</v>
      </c>
      <c r="G173" s="58" t="s">
        <v>173</v>
      </c>
      <c r="H173" s="58" t="s">
        <v>174</v>
      </c>
      <c r="I173" s="58" t="s">
        <v>175</v>
      </c>
      <c r="J173" s="58" t="s">
        <v>176</v>
      </c>
      <c r="K173" s="58" t="s">
        <v>319</v>
      </c>
      <c r="N173" s="58" t="s">
        <v>312</v>
      </c>
      <c r="O173" s="58" t="s">
        <v>168</v>
      </c>
      <c r="P173" s="58" t="s">
        <v>171</v>
      </c>
      <c r="Q173" s="58" t="s">
        <v>174</v>
      </c>
      <c r="R173" s="58" t="s">
        <v>169</v>
      </c>
      <c r="S173" s="58" t="s">
        <v>172</v>
      </c>
      <c r="T173" s="58" t="s">
        <v>175</v>
      </c>
      <c r="U173" s="58" t="s">
        <v>170</v>
      </c>
      <c r="V173" s="58" t="s">
        <v>173</v>
      </c>
      <c r="W173" s="58" t="s">
        <v>176</v>
      </c>
      <c r="X173" s="58" t="s">
        <v>319</v>
      </c>
    </row>
    <row r="174" customFormat="false" ht="15" hidden="false" customHeight="false" outlineLevel="0" collapsed="false">
      <c r="A174" s="58" t="s">
        <v>177</v>
      </c>
      <c r="B174" s="78" t="n">
        <v>6.33333333333333</v>
      </c>
      <c r="C174" s="67"/>
      <c r="D174" s="67"/>
      <c r="E174" s="62"/>
      <c r="F174" s="62"/>
      <c r="G174" s="62"/>
      <c r="H174" s="62"/>
      <c r="I174" s="62"/>
      <c r="J174" s="62"/>
      <c r="K174" s="79" t="n">
        <v>1.26666666666667</v>
      </c>
      <c r="N174" s="58" t="s">
        <v>177</v>
      </c>
      <c r="O174" s="78" t="n">
        <v>6.33333333333333</v>
      </c>
      <c r="P174" s="67"/>
      <c r="Q174" s="67"/>
      <c r="R174" s="62"/>
      <c r="S174" s="62"/>
      <c r="T174" s="62"/>
      <c r="U174" s="62"/>
      <c r="V174" s="62"/>
      <c r="W174" s="62"/>
      <c r="X174" s="79" t="n">
        <v>1.26666666666667</v>
      </c>
    </row>
    <row r="175" customFormat="false" ht="15" hidden="false" customHeight="false" outlineLevel="0" collapsed="false">
      <c r="A175" s="58" t="s">
        <v>186</v>
      </c>
      <c r="B175" s="67"/>
      <c r="C175" s="78" t="n">
        <v>1</v>
      </c>
      <c r="D175" s="67"/>
      <c r="E175" s="62"/>
      <c r="F175" s="62"/>
      <c r="G175" s="62"/>
      <c r="H175" s="62"/>
      <c r="I175" s="62"/>
      <c r="J175" s="62"/>
      <c r="K175" s="79" t="n">
        <v>0.2</v>
      </c>
      <c r="N175" s="58" t="s">
        <v>205</v>
      </c>
      <c r="O175" s="67"/>
      <c r="P175" s="67"/>
      <c r="Q175" s="67"/>
      <c r="R175" s="62"/>
      <c r="S175" s="62"/>
      <c r="T175" s="62"/>
      <c r="U175" s="62"/>
      <c r="V175" s="62"/>
      <c r="W175" s="62"/>
      <c r="X175" s="79"/>
    </row>
    <row r="176" customFormat="false" ht="15" hidden="false" customHeight="false" outlineLevel="0" collapsed="false">
      <c r="A176" s="58" t="s">
        <v>195</v>
      </c>
      <c r="B176" s="67"/>
      <c r="C176" s="67"/>
      <c r="D176" s="67"/>
      <c r="E176" s="62"/>
      <c r="F176" s="62"/>
      <c r="G176" s="62"/>
      <c r="H176" s="62"/>
      <c r="I176" s="62"/>
      <c r="J176" s="62"/>
      <c r="K176" s="79"/>
      <c r="N176" s="58" t="s">
        <v>233</v>
      </c>
      <c r="O176" s="67"/>
      <c r="P176" s="67"/>
      <c r="Q176" s="67"/>
      <c r="R176" s="62"/>
      <c r="S176" s="62"/>
      <c r="T176" s="62"/>
      <c r="U176" s="62"/>
      <c r="V176" s="62"/>
      <c r="W176" s="62"/>
      <c r="X176" s="79"/>
    </row>
    <row r="177" customFormat="false" ht="15" hidden="false" customHeight="false" outlineLevel="0" collapsed="false">
      <c r="A177" s="58" t="s">
        <v>205</v>
      </c>
      <c r="B177" s="62"/>
      <c r="C177" s="62"/>
      <c r="D177" s="62"/>
      <c r="E177" s="69"/>
      <c r="F177" s="69"/>
      <c r="G177" s="69"/>
      <c r="H177" s="70"/>
      <c r="I177" s="70"/>
      <c r="J177" s="70"/>
      <c r="K177" s="79"/>
      <c r="N177" s="58" t="s">
        <v>186</v>
      </c>
      <c r="O177" s="62"/>
      <c r="P177" s="62"/>
      <c r="Q177" s="62"/>
      <c r="R177" s="80" t="n">
        <v>1</v>
      </c>
      <c r="S177" s="69"/>
      <c r="T177" s="69"/>
      <c r="U177" s="70"/>
      <c r="V177" s="70"/>
      <c r="W177" s="70"/>
      <c r="X177" s="79" t="n">
        <v>0.2</v>
      </c>
    </row>
    <row r="178" customFormat="false" ht="15" hidden="false" customHeight="false" outlineLevel="0" collapsed="false">
      <c r="A178" s="58" t="s">
        <v>215</v>
      </c>
      <c r="B178" s="62"/>
      <c r="C178" s="62"/>
      <c r="D178" s="62"/>
      <c r="E178" s="69"/>
      <c r="F178" s="80" t="n">
        <v>0</v>
      </c>
      <c r="G178" s="69"/>
      <c r="H178" s="70"/>
      <c r="I178" s="81" t="n">
        <v>-3.255</v>
      </c>
      <c r="J178" s="70"/>
      <c r="K178" s="79" t="n">
        <v>-0.651</v>
      </c>
      <c r="N178" s="58" t="s">
        <v>215</v>
      </c>
      <c r="O178" s="62"/>
      <c r="P178" s="62"/>
      <c r="Q178" s="62"/>
      <c r="R178" s="69"/>
      <c r="S178" s="80" t="n">
        <v>0</v>
      </c>
      <c r="T178" s="80" t="n">
        <v>-3.255</v>
      </c>
      <c r="U178" s="70"/>
      <c r="V178" s="70"/>
      <c r="W178" s="70"/>
      <c r="X178" s="79" t="n">
        <v>-0.651</v>
      </c>
    </row>
    <row r="179" customFormat="false" ht="15" hidden="false" customHeight="false" outlineLevel="0" collapsed="false">
      <c r="A179" s="58" t="s">
        <v>223</v>
      </c>
      <c r="B179" s="62"/>
      <c r="C179" s="62"/>
      <c r="D179" s="62"/>
      <c r="E179" s="69"/>
      <c r="F179" s="69"/>
      <c r="G179" s="69"/>
      <c r="H179" s="70"/>
      <c r="I179" s="70"/>
      <c r="J179" s="70"/>
      <c r="K179" s="79"/>
      <c r="N179" s="58" t="s">
        <v>243</v>
      </c>
      <c r="O179" s="62"/>
      <c r="P179" s="62"/>
      <c r="Q179" s="62"/>
      <c r="R179" s="69"/>
      <c r="S179" s="80" t="n">
        <v>-1.42</v>
      </c>
      <c r="T179" s="80" t="n">
        <v>-4.035</v>
      </c>
      <c r="U179" s="70"/>
      <c r="V179" s="70"/>
      <c r="W179" s="81" t="n">
        <v>-5.78</v>
      </c>
      <c r="X179" s="79" t="n">
        <v>-2.247</v>
      </c>
    </row>
    <row r="180" customFormat="false" ht="15" hidden="false" customHeight="false" outlineLevel="0" collapsed="false">
      <c r="A180" s="58" t="s">
        <v>233</v>
      </c>
      <c r="B180" s="69"/>
      <c r="C180" s="69"/>
      <c r="D180" s="69"/>
      <c r="E180" s="70"/>
      <c r="F180" s="70"/>
      <c r="G180" s="70"/>
      <c r="H180" s="62"/>
      <c r="I180" s="62"/>
      <c r="J180" s="62"/>
      <c r="K180" s="79"/>
      <c r="N180" s="58" t="s">
        <v>195</v>
      </c>
      <c r="O180" s="69"/>
      <c r="P180" s="69"/>
      <c r="Q180" s="69"/>
      <c r="R180" s="70"/>
      <c r="S180" s="70"/>
      <c r="T180" s="70"/>
      <c r="U180" s="62"/>
      <c r="V180" s="62"/>
      <c r="W180" s="62"/>
      <c r="X180" s="79"/>
    </row>
    <row r="181" customFormat="false" ht="15" hidden="false" customHeight="false" outlineLevel="0" collapsed="false">
      <c r="A181" s="58" t="s">
        <v>243</v>
      </c>
      <c r="B181" s="69"/>
      <c r="C181" s="69"/>
      <c r="D181" s="69"/>
      <c r="E181" s="70"/>
      <c r="F181" s="81" t="n">
        <v>-1.42</v>
      </c>
      <c r="G181" s="70"/>
      <c r="H181" s="62"/>
      <c r="I181" s="36" t="n">
        <v>-4.035</v>
      </c>
      <c r="J181" s="36" t="n">
        <v>-5.78</v>
      </c>
      <c r="K181" s="79" t="n">
        <v>-2.247</v>
      </c>
      <c r="N181" s="58" t="s">
        <v>223</v>
      </c>
      <c r="O181" s="69"/>
      <c r="P181" s="69"/>
      <c r="Q181" s="69"/>
      <c r="R181" s="70"/>
      <c r="S181" s="70"/>
      <c r="T181" s="70"/>
      <c r="U181" s="62"/>
      <c r="V181" s="62"/>
      <c r="W181" s="62"/>
      <c r="X181" s="79"/>
    </row>
    <row r="182" customFormat="false" ht="15" hidden="false" customHeight="false" outlineLevel="0" collapsed="false">
      <c r="A182" s="58" t="s">
        <v>250</v>
      </c>
      <c r="B182" s="69"/>
      <c r="C182" s="69"/>
      <c r="D182" s="69"/>
      <c r="E182" s="70"/>
      <c r="F182" s="70"/>
      <c r="G182" s="70"/>
      <c r="H182" s="62"/>
      <c r="I182" s="36" t="n">
        <v>-5.7</v>
      </c>
      <c r="J182" s="36" t="n">
        <v>-6.415</v>
      </c>
      <c r="K182" s="79" t="n">
        <v>-2.423</v>
      </c>
      <c r="N182" s="58" t="s">
        <v>250</v>
      </c>
      <c r="O182" s="69"/>
      <c r="P182" s="69"/>
      <c r="Q182" s="69"/>
      <c r="R182" s="70"/>
      <c r="S182" s="70"/>
      <c r="T182" s="81" t="n">
        <v>-5.7</v>
      </c>
      <c r="U182" s="62"/>
      <c r="V182" s="62"/>
      <c r="W182" s="36" t="n">
        <v>-6.415</v>
      </c>
      <c r="X182" s="79" t="n">
        <v>-2.423</v>
      </c>
    </row>
    <row r="183" customFormat="false" ht="17.35" hidden="false" customHeight="false" outlineLevel="0" collapsed="false">
      <c r="A183" s="13" t="s">
        <v>340</v>
      </c>
      <c r="B183" s="13"/>
      <c r="C183" s="13"/>
      <c r="D183" s="13"/>
      <c r="E183" s="13"/>
      <c r="F183" s="79" t="n">
        <v>-0.284</v>
      </c>
      <c r="G183" s="79"/>
      <c r="H183" s="79"/>
      <c r="I183" s="79" t="n">
        <v>-2.598</v>
      </c>
      <c r="J183" s="79" t="n">
        <v>-2.439</v>
      </c>
      <c r="K183" s="74" t="n">
        <v>-3.85433333333333</v>
      </c>
      <c r="N183" s="13" t="s">
        <v>341</v>
      </c>
      <c r="O183" s="13"/>
      <c r="P183" s="13"/>
      <c r="Q183" s="13"/>
      <c r="R183" s="13"/>
      <c r="S183" s="79" t="n">
        <v>-0.284</v>
      </c>
      <c r="T183" s="79" t="n">
        <v>-2.598</v>
      </c>
      <c r="U183" s="79"/>
      <c r="V183" s="79"/>
      <c r="W183" s="79" t="n">
        <v>-2.439</v>
      </c>
      <c r="X183" s="74" t="n">
        <v>-3.85433333333333</v>
      </c>
    </row>
    <row r="185" customFormat="false" ht="15" hidden="false" customHeight="false" outlineLevel="0" collapsed="false">
      <c r="A185" s="58" t="s">
        <v>271</v>
      </c>
      <c r="B185" s="58" t="s">
        <v>169</v>
      </c>
      <c r="C185" s="58" t="s">
        <v>172</v>
      </c>
      <c r="D185" s="58" t="s">
        <v>175</v>
      </c>
      <c r="E185" s="58" t="s">
        <v>270</v>
      </c>
      <c r="G185" s="58" t="s">
        <v>262</v>
      </c>
      <c r="H185" s="58" t="s">
        <v>169</v>
      </c>
      <c r="I185" s="58" t="s">
        <v>172</v>
      </c>
      <c r="J185" s="58" t="s">
        <v>175</v>
      </c>
      <c r="K185" s="58" t="s">
        <v>270</v>
      </c>
      <c r="N185" s="58" t="s">
        <v>271</v>
      </c>
      <c r="O185" s="58" t="s">
        <v>169</v>
      </c>
      <c r="P185" s="58" t="s">
        <v>172</v>
      </c>
      <c r="Q185" s="58" t="s">
        <v>175</v>
      </c>
      <c r="R185" s="58" t="s">
        <v>270</v>
      </c>
      <c r="T185" s="58" t="s">
        <v>262</v>
      </c>
      <c r="U185" s="58" t="s">
        <v>169</v>
      </c>
      <c r="V185" s="58" t="s">
        <v>172</v>
      </c>
      <c r="W185" s="58" t="s">
        <v>175</v>
      </c>
      <c r="X185" s="58" t="s">
        <v>270</v>
      </c>
    </row>
    <row r="186" customFormat="false" ht="15" hidden="false" customHeight="false" outlineLevel="0" collapsed="false">
      <c r="A186" s="58" t="s">
        <v>186</v>
      </c>
      <c r="B186" s="78" t="n">
        <v>7.33333333333333</v>
      </c>
      <c r="C186" s="62"/>
      <c r="D186" s="62"/>
      <c r="E186" s="74" t="n">
        <v>7.33333333333333</v>
      </c>
      <c r="G186" s="58" t="s">
        <v>186</v>
      </c>
      <c r="H186" s="78" t="n">
        <v>21.6078181014585</v>
      </c>
      <c r="I186" s="36" t="n">
        <v>0</v>
      </c>
      <c r="J186" s="36" t="n">
        <v>0</v>
      </c>
      <c r="K186" s="74" t="n">
        <v>21.6078181014585</v>
      </c>
      <c r="N186" s="58" t="s">
        <v>186</v>
      </c>
      <c r="O186" s="78" t="n">
        <v>6.33333333333333</v>
      </c>
      <c r="P186" s="62"/>
      <c r="Q186" s="62"/>
      <c r="R186" s="74" t="n">
        <v>6.33333333333333</v>
      </c>
      <c r="T186" s="58" t="s">
        <v>177</v>
      </c>
      <c r="U186" s="78" t="n">
        <v>18.6612974512596</v>
      </c>
      <c r="V186" s="36" t="n">
        <v>0</v>
      </c>
      <c r="W186" s="36" t="n">
        <v>0</v>
      </c>
      <c r="X186" s="74" t="n">
        <v>18.6612974512596</v>
      </c>
    </row>
    <row r="187" customFormat="false" ht="15" hidden="false" customHeight="false" outlineLevel="0" collapsed="false">
      <c r="A187" s="58" t="s">
        <v>215</v>
      </c>
      <c r="B187" s="62"/>
      <c r="C187" s="69"/>
      <c r="D187" s="81" t="n">
        <v>-3.255</v>
      </c>
      <c r="E187" s="74" t="n">
        <v>-3.255</v>
      </c>
      <c r="G187" s="58" t="s">
        <v>215</v>
      </c>
      <c r="H187" s="36" t="n">
        <v>0</v>
      </c>
      <c r="I187" s="80" t="n">
        <v>0</v>
      </c>
      <c r="J187" s="81" t="n">
        <v>-9.59092471639739</v>
      </c>
      <c r="K187" s="74" t="n">
        <v>-9.59092471639739</v>
      </c>
      <c r="N187" s="58" t="s">
        <v>215</v>
      </c>
      <c r="O187" s="62"/>
      <c r="P187" s="80" t="n">
        <v>-7.71</v>
      </c>
      <c r="Q187" s="81" t="n">
        <v>-5.78</v>
      </c>
      <c r="R187" s="74" t="n">
        <v>-13.49</v>
      </c>
      <c r="T187" s="58" t="s">
        <v>215</v>
      </c>
      <c r="U187" s="36" t="n">
        <v>0</v>
      </c>
      <c r="V187" s="80" t="n">
        <v>-22.7176742130334</v>
      </c>
      <c r="W187" s="81" t="n">
        <v>-17.0308893581496</v>
      </c>
      <c r="X187" s="74" t="n">
        <v>-39.748563571183</v>
      </c>
    </row>
    <row r="188" customFormat="false" ht="15" hidden="false" customHeight="false" outlineLevel="0" collapsed="false">
      <c r="A188" s="58" t="s">
        <v>243</v>
      </c>
      <c r="B188" s="69"/>
      <c r="C188" s="81" t="n">
        <v>-1.42</v>
      </c>
      <c r="D188" s="36" t="n">
        <v>-21.93</v>
      </c>
      <c r="E188" s="74" t="n">
        <v>-23.35</v>
      </c>
      <c r="G188" s="58" t="s">
        <v>243</v>
      </c>
      <c r="H188" s="80" t="n">
        <v>0</v>
      </c>
      <c r="I188" s="81" t="n">
        <v>-4.18405932328242</v>
      </c>
      <c r="J188" s="36" t="n">
        <v>-64.6171978588617</v>
      </c>
      <c r="K188" s="74" t="n">
        <v>-68.8012571821441</v>
      </c>
      <c r="N188" s="58" t="s">
        <v>243</v>
      </c>
      <c r="O188" s="69"/>
      <c r="P188" s="81" t="n">
        <v>-5.7</v>
      </c>
      <c r="Q188" s="36" t="n">
        <v>-6.415</v>
      </c>
      <c r="R188" s="74" t="n">
        <v>-12.115</v>
      </c>
      <c r="T188" s="58" t="s">
        <v>243</v>
      </c>
      <c r="U188" s="80" t="n">
        <v>0</v>
      </c>
      <c r="V188" s="81" t="n">
        <v>-16.7951677061337</v>
      </c>
      <c r="W188" s="36" t="n">
        <v>-18.9019299710259</v>
      </c>
      <c r="X188" s="74" t="n">
        <v>-35.6970976771596</v>
      </c>
    </row>
    <row r="189" customFormat="false" ht="15" hidden="false" customHeight="false" outlineLevel="0" collapsed="false">
      <c r="A189" s="58" t="s">
        <v>270</v>
      </c>
      <c r="B189" s="74" t="n">
        <v>7.33333333333333</v>
      </c>
      <c r="C189" s="74" t="n">
        <v>-1.42</v>
      </c>
      <c r="D189" s="74" t="n">
        <v>-25.185</v>
      </c>
      <c r="E189" s="74" t="n">
        <v>-19.2716666666667</v>
      </c>
      <c r="G189" s="58" t="s">
        <v>270</v>
      </c>
      <c r="H189" s="74" t="n">
        <v>21.6078181014585</v>
      </c>
      <c r="I189" s="74" t="n">
        <v>-4.18405932328242</v>
      </c>
      <c r="J189" s="74" t="n">
        <v>-74.2081225752591</v>
      </c>
      <c r="K189" s="74" t="n">
        <v>-56.784363797083</v>
      </c>
      <c r="N189" s="58" t="s">
        <v>270</v>
      </c>
      <c r="O189" s="74" t="n">
        <v>6.33333333333333</v>
      </c>
      <c r="P189" s="74" t="n">
        <v>-13.41</v>
      </c>
      <c r="Q189" s="74" t="n">
        <v>-12.195</v>
      </c>
      <c r="R189" s="74" t="n">
        <v>-19.2716666666667</v>
      </c>
      <c r="T189" s="58" t="s">
        <v>270</v>
      </c>
      <c r="U189" s="74" t="n">
        <v>18.6612974512596</v>
      </c>
      <c r="V189" s="74" t="n">
        <v>-39.5128419191671</v>
      </c>
      <c r="W189" s="74" t="n">
        <v>-35.9328193291755</v>
      </c>
      <c r="X189" s="74" t="n">
        <v>-56.784363797083</v>
      </c>
    </row>
    <row r="193" customFormat="false" ht="17.35" hidden="false" customHeight="false" outlineLevel="0" collapsed="false">
      <c r="A193" s="13" t="s">
        <v>342</v>
      </c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N193" s="13" t="s">
        <v>343</v>
      </c>
      <c r="O193" s="13"/>
      <c r="P193" s="13"/>
      <c r="Q193" s="13"/>
      <c r="R193" s="13"/>
      <c r="S193" s="13"/>
      <c r="T193" s="13"/>
      <c r="U193" s="13"/>
      <c r="V193" s="13"/>
      <c r="W193" s="13"/>
      <c r="X193" s="13"/>
    </row>
    <row r="195" customFormat="false" ht="15" hidden="false" customHeight="false" outlineLevel="0" collapsed="false">
      <c r="A195" s="58" t="s">
        <v>312</v>
      </c>
      <c r="B195" s="58" t="s">
        <v>168</v>
      </c>
      <c r="C195" s="58" t="s">
        <v>169</v>
      </c>
      <c r="D195" s="58" t="s">
        <v>170</v>
      </c>
      <c r="E195" s="58" t="s">
        <v>171</v>
      </c>
      <c r="F195" s="58" t="s">
        <v>172</v>
      </c>
      <c r="G195" s="58" t="s">
        <v>173</v>
      </c>
      <c r="H195" s="58" t="s">
        <v>174</v>
      </c>
      <c r="I195" s="58" t="s">
        <v>175</v>
      </c>
      <c r="J195" s="58" t="s">
        <v>176</v>
      </c>
      <c r="K195" s="58" t="s">
        <v>319</v>
      </c>
      <c r="N195" s="58" t="s">
        <v>312</v>
      </c>
      <c r="O195" s="58" t="s">
        <v>168</v>
      </c>
      <c r="P195" s="58" t="s">
        <v>171</v>
      </c>
      <c r="Q195" s="58" t="s">
        <v>174</v>
      </c>
      <c r="R195" s="58" t="s">
        <v>169</v>
      </c>
      <c r="S195" s="58" t="s">
        <v>172</v>
      </c>
      <c r="T195" s="58" t="s">
        <v>175</v>
      </c>
      <c r="U195" s="58" t="s">
        <v>170</v>
      </c>
      <c r="V195" s="58" t="s">
        <v>173</v>
      </c>
      <c r="W195" s="58" t="s">
        <v>176</v>
      </c>
      <c r="X195" s="58" t="s">
        <v>319</v>
      </c>
    </row>
    <row r="196" customFormat="false" ht="15" hidden="false" customHeight="false" outlineLevel="0" collapsed="false">
      <c r="A196" s="58" t="s">
        <v>177</v>
      </c>
      <c r="B196" s="78" t="n">
        <v>12.6666666666667</v>
      </c>
      <c r="C196" s="67"/>
      <c r="D196" s="67"/>
      <c r="E196" s="62"/>
      <c r="F196" s="62"/>
      <c r="G196" s="62"/>
      <c r="H196" s="62"/>
      <c r="I196" s="62"/>
      <c r="J196" s="62"/>
      <c r="K196" s="79" t="n">
        <v>2.53333333333333</v>
      </c>
      <c r="N196" s="58" t="s">
        <v>177</v>
      </c>
      <c r="O196" s="78" t="n">
        <v>12.6666666666667</v>
      </c>
      <c r="P196" s="67"/>
      <c r="Q196" s="67"/>
      <c r="R196" s="62"/>
      <c r="S196" s="62"/>
      <c r="T196" s="62"/>
      <c r="U196" s="62"/>
      <c r="V196" s="62"/>
      <c r="W196" s="62"/>
      <c r="X196" s="79" t="n">
        <v>2.53333333333333</v>
      </c>
    </row>
    <row r="197" customFormat="false" ht="15" hidden="false" customHeight="false" outlineLevel="0" collapsed="false">
      <c r="A197" s="58" t="s">
        <v>186</v>
      </c>
      <c r="B197" s="67"/>
      <c r="C197" s="78" t="n">
        <v>2</v>
      </c>
      <c r="D197" s="67"/>
      <c r="E197" s="62"/>
      <c r="F197" s="62"/>
      <c r="G197" s="62"/>
      <c r="H197" s="62"/>
      <c r="I197" s="62"/>
      <c r="J197" s="62"/>
      <c r="K197" s="79" t="n">
        <v>0.4</v>
      </c>
      <c r="N197" s="58" t="s">
        <v>205</v>
      </c>
      <c r="O197" s="67"/>
      <c r="P197" s="67"/>
      <c r="Q197" s="67"/>
      <c r="R197" s="62"/>
      <c r="S197" s="62"/>
      <c r="T197" s="62"/>
      <c r="U197" s="62"/>
      <c r="V197" s="62"/>
      <c r="W197" s="62"/>
      <c r="X197" s="79"/>
    </row>
    <row r="198" customFormat="false" ht="15" hidden="false" customHeight="false" outlineLevel="0" collapsed="false">
      <c r="A198" s="58" t="s">
        <v>195</v>
      </c>
      <c r="B198" s="67"/>
      <c r="C198" s="67"/>
      <c r="D198" s="67"/>
      <c r="E198" s="62"/>
      <c r="F198" s="62"/>
      <c r="G198" s="62"/>
      <c r="H198" s="62"/>
      <c r="I198" s="62"/>
      <c r="J198" s="62"/>
      <c r="K198" s="79"/>
      <c r="N198" s="58" t="s">
        <v>233</v>
      </c>
      <c r="O198" s="67"/>
      <c r="P198" s="67"/>
      <c r="Q198" s="67"/>
      <c r="R198" s="62"/>
      <c r="S198" s="62"/>
      <c r="T198" s="62"/>
      <c r="U198" s="62"/>
      <c r="V198" s="62"/>
      <c r="W198" s="62"/>
      <c r="X198" s="79"/>
    </row>
    <row r="199" customFormat="false" ht="15" hidden="false" customHeight="false" outlineLevel="0" collapsed="false">
      <c r="A199" s="58" t="s">
        <v>205</v>
      </c>
      <c r="B199" s="62"/>
      <c r="C199" s="62"/>
      <c r="D199" s="62"/>
      <c r="E199" s="69"/>
      <c r="F199" s="69"/>
      <c r="G199" s="69"/>
      <c r="H199" s="70"/>
      <c r="I199" s="70"/>
      <c r="J199" s="70"/>
      <c r="K199" s="79"/>
      <c r="N199" s="58" t="s">
        <v>186</v>
      </c>
      <c r="O199" s="62"/>
      <c r="P199" s="62"/>
      <c r="Q199" s="62"/>
      <c r="R199" s="80" t="n">
        <v>2</v>
      </c>
      <c r="S199" s="69"/>
      <c r="T199" s="69"/>
      <c r="U199" s="70"/>
      <c r="V199" s="70"/>
      <c r="W199" s="70"/>
      <c r="X199" s="79" t="n">
        <v>0.4</v>
      </c>
    </row>
    <row r="200" customFormat="false" ht="15" hidden="false" customHeight="false" outlineLevel="0" collapsed="false">
      <c r="A200" s="58" t="s">
        <v>215</v>
      </c>
      <c r="B200" s="62"/>
      <c r="C200" s="62"/>
      <c r="D200" s="62"/>
      <c r="E200" s="69"/>
      <c r="F200" s="80" t="n">
        <v>0</v>
      </c>
      <c r="G200" s="69"/>
      <c r="H200" s="70"/>
      <c r="I200" s="81" t="n">
        <v>-4.515</v>
      </c>
      <c r="J200" s="70"/>
      <c r="K200" s="79" t="n">
        <v>-0.903</v>
      </c>
      <c r="N200" s="58" t="s">
        <v>215</v>
      </c>
      <c r="O200" s="62"/>
      <c r="P200" s="62"/>
      <c r="Q200" s="62"/>
      <c r="R200" s="69"/>
      <c r="S200" s="80" t="n">
        <v>0</v>
      </c>
      <c r="T200" s="80" t="n">
        <v>-4.515</v>
      </c>
      <c r="U200" s="70"/>
      <c r="V200" s="70"/>
      <c r="W200" s="70"/>
      <c r="X200" s="79" t="n">
        <v>-0.903</v>
      </c>
    </row>
    <row r="201" customFormat="false" ht="15" hidden="false" customHeight="false" outlineLevel="0" collapsed="false">
      <c r="A201" s="58" t="s">
        <v>223</v>
      </c>
      <c r="B201" s="62"/>
      <c r="C201" s="62"/>
      <c r="D201" s="62"/>
      <c r="E201" s="69"/>
      <c r="F201" s="69"/>
      <c r="G201" s="69"/>
      <c r="H201" s="70"/>
      <c r="I201" s="70"/>
      <c r="J201" s="70"/>
      <c r="K201" s="79"/>
      <c r="N201" s="58" t="s">
        <v>243</v>
      </c>
      <c r="O201" s="62"/>
      <c r="P201" s="62"/>
      <c r="Q201" s="62"/>
      <c r="R201" s="69"/>
      <c r="S201" s="80" t="n">
        <v>-4.7</v>
      </c>
      <c r="T201" s="80" t="n">
        <v>-8.015</v>
      </c>
      <c r="U201" s="70"/>
      <c r="V201" s="70"/>
      <c r="W201" s="81" t="n">
        <v>-11.26</v>
      </c>
      <c r="X201" s="79" t="n">
        <v>-4.795</v>
      </c>
    </row>
    <row r="202" customFormat="false" ht="15" hidden="false" customHeight="false" outlineLevel="0" collapsed="false">
      <c r="A202" s="58" t="s">
        <v>233</v>
      </c>
      <c r="B202" s="69"/>
      <c r="C202" s="69"/>
      <c r="D202" s="69"/>
      <c r="E202" s="70"/>
      <c r="F202" s="70"/>
      <c r="G202" s="70"/>
      <c r="H202" s="62"/>
      <c r="I202" s="62"/>
      <c r="J202" s="62"/>
      <c r="K202" s="79"/>
      <c r="N202" s="58" t="s">
        <v>195</v>
      </c>
      <c r="O202" s="69"/>
      <c r="P202" s="69"/>
      <c r="Q202" s="69"/>
      <c r="R202" s="70"/>
      <c r="S202" s="70"/>
      <c r="T202" s="70"/>
      <c r="U202" s="62"/>
      <c r="V202" s="62"/>
      <c r="W202" s="62"/>
      <c r="X202" s="79"/>
    </row>
    <row r="203" customFormat="false" ht="15" hidden="false" customHeight="false" outlineLevel="0" collapsed="false">
      <c r="A203" s="58" t="s">
        <v>243</v>
      </c>
      <c r="B203" s="69"/>
      <c r="C203" s="69"/>
      <c r="D203" s="69"/>
      <c r="E203" s="70"/>
      <c r="F203" s="81" t="n">
        <v>-4.7</v>
      </c>
      <c r="G203" s="70"/>
      <c r="H203" s="62"/>
      <c r="I203" s="36" t="n">
        <v>-8.015</v>
      </c>
      <c r="J203" s="36" t="n">
        <v>-11.26</v>
      </c>
      <c r="K203" s="79" t="n">
        <v>-4.795</v>
      </c>
      <c r="N203" s="58" t="s">
        <v>223</v>
      </c>
      <c r="O203" s="69"/>
      <c r="P203" s="69"/>
      <c r="Q203" s="69"/>
      <c r="R203" s="70"/>
      <c r="S203" s="70"/>
      <c r="T203" s="70"/>
      <c r="U203" s="62"/>
      <c r="V203" s="62"/>
      <c r="W203" s="62"/>
      <c r="X203" s="79"/>
    </row>
    <row r="204" customFormat="false" ht="15" hidden="false" customHeight="false" outlineLevel="0" collapsed="false">
      <c r="A204" s="58" t="s">
        <v>250</v>
      </c>
      <c r="B204" s="69"/>
      <c r="C204" s="69"/>
      <c r="D204" s="69"/>
      <c r="E204" s="70"/>
      <c r="F204" s="70"/>
      <c r="G204" s="70"/>
      <c r="H204" s="62"/>
      <c r="I204" s="36" t="n">
        <v>-11.69</v>
      </c>
      <c r="J204" s="36" t="n">
        <v>-12.825</v>
      </c>
      <c r="K204" s="79" t="n">
        <v>-4.903</v>
      </c>
      <c r="N204" s="58" t="s">
        <v>250</v>
      </c>
      <c r="O204" s="69"/>
      <c r="P204" s="69"/>
      <c r="Q204" s="69"/>
      <c r="R204" s="70"/>
      <c r="S204" s="70"/>
      <c r="T204" s="81" t="n">
        <v>-11.69</v>
      </c>
      <c r="U204" s="62"/>
      <c r="V204" s="62"/>
      <c r="W204" s="36" t="n">
        <v>-12.825</v>
      </c>
      <c r="X204" s="79" t="n">
        <v>-4.903</v>
      </c>
    </row>
    <row r="205" customFormat="false" ht="17.35" hidden="false" customHeight="false" outlineLevel="0" collapsed="false">
      <c r="A205" s="13" t="s">
        <v>344</v>
      </c>
      <c r="B205" s="13"/>
      <c r="C205" s="13"/>
      <c r="D205" s="13"/>
      <c r="E205" s="13"/>
      <c r="F205" s="79" t="n">
        <v>-0.94</v>
      </c>
      <c r="G205" s="79"/>
      <c r="H205" s="79"/>
      <c r="I205" s="79" t="n">
        <v>-4.844</v>
      </c>
      <c r="J205" s="79" t="n">
        <v>-4.817</v>
      </c>
      <c r="K205" s="74" t="n">
        <v>-7.66766666666667</v>
      </c>
      <c r="N205" s="13" t="s">
        <v>345</v>
      </c>
      <c r="O205" s="13"/>
      <c r="P205" s="13"/>
      <c r="Q205" s="13"/>
      <c r="R205" s="13"/>
      <c r="S205" s="79" t="n">
        <v>-0.94</v>
      </c>
      <c r="T205" s="79" t="n">
        <v>-4.844</v>
      </c>
      <c r="U205" s="79"/>
      <c r="V205" s="79"/>
      <c r="W205" s="79" t="n">
        <v>-4.817</v>
      </c>
      <c r="X205" s="74" t="n">
        <v>-7.66766666666667</v>
      </c>
    </row>
    <row r="207" customFormat="false" ht="15" hidden="false" customHeight="false" outlineLevel="0" collapsed="false">
      <c r="A207" s="58" t="s">
        <v>271</v>
      </c>
      <c r="B207" s="58" t="s">
        <v>169</v>
      </c>
      <c r="C207" s="58" t="s">
        <v>172</v>
      </c>
      <c r="D207" s="58" t="s">
        <v>175</v>
      </c>
      <c r="E207" s="58" t="s">
        <v>270</v>
      </c>
      <c r="G207" s="58" t="s">
        <v>262</v>
      </c>
      <c r="H207" s="58" t="s">
        <v>169</v>
      </c>
      <c r="I207" s="58" t="s">
        <v>172</v>
      </c>
      <c r="J207" s="58" t="s">
        <v>175</v>
      </c>
      <c r="K207" s="58" t="s">
        <v>270</v>
      </c>
      <c r="N207" s="58" t="s">
        <v>271</v>
      </c>
      <c r="O207" s="58" t="s">
        <v>169</v>
      </c>
      <c r="P207" s="58" t="s">
        <v>172</v>
      </c>
      <c r="Q207" s="58" t="s">
        <v>175</v>
      </c>
      <c r="R207" s="58" t="s">
        <v>270</v>
      </c>
      <c r="T207" s="58" t="s">
        <v>262</v>
      </c>
      <c r="U207" s="58" t="s">
        <v>169</v>
      </c>
      <c r="V207" s="58" t="s">
        <v>172</v>
      </c>
      <c r="W207" s="58" t="s">
        <v>175</v>
      </c>
      <c r="X207" s="58" t="s">
        <v>270</v>
      </c>
    </row>
    <row r="208" customFormat="false" ht="15" hidden="false" customHeight="false" outlineLevel="0" collapsed="false">
      <c r="A208" s="58" t="s">
        <v>186</v>
      </c>
      <c r="B208" s="78" t="n">
        <v>14.6666666666667</v>
      </c>
      <c r="C208" s="62"/>
      <c r="D208" s="62"/>
      <c r="E208" s="74" t="n">
        <v>14.6666666666667</v>
      </c>
      <c r="G208" s="58" t="s">
        <v>186</v>
      </c>
      <c r="H208" s="78" t="n">
        <v>21.6732753737409</v>
      </c>
      <c r="I208" s="36" t="n">
        <v>0</v>
      </c>
      <c r="J208" s="36" t="n">
        <v>0</v>
      </c>
      <c r="K208" s="74" t="n">
        <v>21.6732753737409</v>
      </c>
      <c r="N208" s="58" t="s">
        <v>186</v>
      </c>
      <c r="O208" s="78" t="n">
        <v>12.6666666666667</v>
      </c>
      <c r="P208" s="62"/>
      <c r="Q208" s="62"/>
      <c r="R208" s="74" t="n">
        <v>12.6666666666667</v>
      </c>
      <c r="T208" s="58" t="s">
        <v>177</v>
      </c>
      <c r="U208" s="78" t="n">
        <v>18.7178287318671</v>
      </c>
      <c r="V208" s="36" t="n">
        <v>0</v>
      </c>
      <c r="W208" s="36" t="n">
        <v>0</v>
      </c>
      <c r="X208" s="74" t="n">
        <v>18.7178287318671</v>
      </c>
    </row>
    <row r="209" customFormat="false" ht="15" hidden="false" customHeight="false" outlineLevel="0" collapsed="false">
      <c r="A209" s="58" t="s">
        <v>215</v>
      </c>
      <c r="B209" s="62"/>
      <c r="C209" s="69"/>
      <c r="D209" s="81" t="n">
        <v>-4.515</v>
      </c>
      <c r="E209" s="74" t="n">
        <v>-4.515</v>
      </c>
      <c r="G209" s="58" t="s">
        <v>215</v>
      </c>
      <c r="H209" s="36" t="n">
        <v>0</v>
      </c>
      <c r="I209" s="80" t="n">
        <v>0</v>
      </c>
      <c r="J209" s="81" t="n">
        <v>-6.67192079403</v>
      </c>
      <c r="K209" s="74" t="n">
        <v>-6.67192079403</v>
      </c>
      <c r="N209" s="58" t="s">
        <v>215</v>
      </c>
      <c r="O209" s="62"/>
      <c r="P209" s="80" t="n">
        <v>-15.23</v>
      </c>
      <c r="Q209" s="81" t="n">
        <v>-11.26</v>
      </c>
      <c r="R209" s="74" t="n">
        <v>-26.49</v>
      </c>
      <c r="T209" s="58" t="s">
        <v>215</v>
      </c>
      <c r="U209" s="36" t="n">
        <v>0</v>
      </c>
      <c r="V209" s="80" t="n">
        <v>-22.5057261778686</v>
      </c>
      <c r="W209" s="81" t="n">
        <v>-16.6391645937492</v>
      </c>
      <c r="X209" s="74" t="n">
        <v>-39.1448907716179</v>
      </c>
    </row>
    <row r="210" customFormat="false" ht="15" hidden="false" customHeight="false" outlineLevel="0" collapsed="false">
      <c r="A210" s="58" t="s">
        <v>243</v>
      </c>
      <c r="B210" s="69"/>
      <c r="C210" s="81" t="n">
        <v>-4.7</v>
      </c>
      <c r="D210" s="36" t="n">
        <v>-43.79</v>
      </c>
      <c r="E210" s="74" t="n">
        <v>-48.49</v>
      </c>
      <c r="G210" s="58" t="s">
        <v>243</v>
      </c>
      <c r="H210" s="80" t="n">
        <v>0</v>
      </c>
      <c r="I210" s="81" t="n">
        <v>-6.94529960840332</v>
      </c>
      <c r="J210" s="36" t="n">
        <v>-64.7095042238258</v>
      </c>
      <c r="K210" s="74" t="n">
        <v>-71.6548038322292</v>
      </c>
      <c r="N210" s="58" t="s">
        <v>243</v>
      </c>
      <c r="O210" s="69"/>
      <c r="P210" s="81" t="n">
        <v>-11.69</v>
      </c>
      <c r="Q210" s="36" t="n">
        <v>-12.825</v>
      </c>
      <c r="R210" s="74" t="n">
        <v>-24.515</v>
      </c>
      <c r="T210" s="58" t="s">
        <v>243</v>
      </c>
      <c r="U210" s="80" t="n">
        <v>0</v>
      </c>
      <c r="V210" s="81" t="n">
        <v>-17.2745856217521</v>
      </c>
      <c r="W210" s="36" t="n">
        <v>-18.9518015910154</v>
      </c>
      <c r="X210" s="74" t="n">
        <v>-36.2263872127675</v>
      </c>
    </row>
    <row r="211" customFormat="false" ht="15" hidden="false" customHeight="false" outlineLevel="0" collapsed="false">
      <c r="A211" s="58" t="s">
        <v>270</v>
      </c>
      <c r="B211" s="74" t="n">
        <v>14.6666666666667</v>
      </c>
      <c r="C211" s="74" t="n">
        <v>-4.7</v>
      </c>
      <c r="D211" s="74" t="n">
        <v>-48.305</v>
      </c>
      <c r="E211" s="74" t="n">
        <v>-38.3383333333333</v>
      </c>
      <c r="G211" s="58" t="s">
        <v>270</v>
      </c>
      <c r="H211" s="74" t="n">
        <v>21.6732753737409</v>
      </c>
      <c r="I211" s="74" t="n">
        <v>-6.94529960840332</v>
      </c>
      <c r="J211" s="74" t="n">
        <v>-71.3814250178558</v>
      </c>
      <c r="K211" s="74" t="n">
        <v>-56.6534492525183</v>
      </c>
      <c r="N211" s="58" t="s">
        <v>270</v>
      </c>
      <c r="O211" s="74" t="n">
        <v>12.6666666666667</v>
      </c>
      <c r="P211" s="74" t="n">
        <v>-26.92</v>
      </c>
      <c r="Q211" s="74" t="n">
        <v>-24.085</v>
      </c>
      <c r="R211" s="74" t="n">
        <v>-38.3383333333333</v>
      </c>
      <c r="T211" s="58" t="s">
        <v>270</v>
      </c>
      <c r="U211" s="74" t="n">
        <v>18.7178287318671</v>
      </c>
      <c r="V211" s="74" t="n">
        <v>-39.7803117996207</v>
      </c>
      <c r="W211" s="74" t="n">
        <v>-35.5909661847647</v>
      </c>
      <c r="X211" s="74" t="n">
        <v>-56.6534492525183</v>
      </c>
    </row>
    <row r="215" customFormat="false" ht="17.35" hidden="false" customHeight="false" outlineLevel="0" collapsed="false">
      <c r="A215" s="13" t="s">
        <v>346</v>
      </c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N215" s="13" t="s">
        <v>347</v>
      </c>
      <c r="O215" s="13"/>
      <c r="P215" s="13"/>
      <c r="Q215" s="13"/>
      <c r="R215" s="13"/>
      <c r="S215" s="13"/>
      <c r="T215" s="13"/>
      <c r="U215" s="13"/>
      <c r="V215" s="13"/>
      <c r="W215" s="13"/>
      <c r="X215" s="13"/>
    </row>
    <row r="217" customFormat="false" ht="15" hidden="false" customHeight="false" outlineLevel="0" collapsed="false">
      <c r="A217" s="58" t="s">
        <v>312</v>
      </c>
      <c r="B217" s="58" t="s">
        <v>168</v>
      </c>
      <c r="C217" s="58" t="s">
        <v>169</v>
      </c>
      <c r="D217" s="58" t="s">
        <v>170</v>
      </c>
      <c r="E217" s="58" t="s">
        <v>171</v>
      </c>
      <c r="F217" s="58" t="s">
        <v>172</v>
      </c>
      <c r="G217" s="58" t="s">
        <v>173</v>
      </c>
      <c r="H217" s="58" t="s">
        <v>174</v>
      </c>
      <c r="I217" s="58" t="s">
        <v>175</v>
      </c>
      <c r="J217" s="58" t="s">
        <v>176</v>
      </c>
      <c r="K217" s="58" t="s">
        <v>319</v>
      </c>
      <c r="N217" s="58" t="s">
        <v>312</v>
      </c>
      <c r="O217" s="58" t="s">
        <v>168</v>
      </c>
      <c r="P217" s="58" t="s">
        <v>171</v>
      </c>
      <c r="Q217" s="58" t="s">
        <v>174</v>
      </c>
      <c r="R217" s="58" t="s">
        <v>169</v>
      </c>
      <c r="S217" s="58" t="s">
        <v>172</v>
      </c>
      <c r="T217" s="58" t="s">
        <v>175</v>
      </c>
      <c r="U217" s="58" t="s">
        <v>170</v>
      </c>
      <c r="V217" s="58" t="s">
        <v>173</v>
      </c>
      <c r="W217" s="58" t="s">
        <v>176</v>
      </c>
      <c r="X217" s="58" t="s">
        <v>319</v>
      </c>
    </row>
    <row r="218" customFormat="false" ht="15" hidden="false" customHeight="false" outlineLevel="0" collapsed="false">
      <c r="A218" s="58" t="s">
        <v>177</v>
      </c>
      <c r="B218" s="78" t="n">
        <v>6.33333333333333</v>
      </c>
      <c r="C218" s="67"/>
      <c r="D218" s="67"/>
      <c r="E218" s="62"/>
      <c r="F218" s="62"/>
      <c r="G218" s="62"/>
      <c r="H218" s="62"/>
      <c r="I218" s="62"/>
      <c r="J218" s="62"/>
      <c r="K218" s="79" t="n">
        <v>1.26666666666667</v>
      </c>
      <c r="N218" s="58" t="s">
        <v>177</v>
      </c>
      <c r="O218" s="78" t="n">
        <v>6.33333333333333</v>
      </c>
      <c r="P218" s="67"/>
      <c r="Q218" s="67"/>
      <c r="R218" s="62"/>
      <c r="S218" s="62"/>
      <c r="T218" s="62"/>
      <c r="U218" s="62"/>
      <c r="V218" s="62"/>
      <c r="W218" s="62"/>
      <c r="X218" s="79" t="n">
        <v>1.26666666666667</v>
      </c>
    </row>
    <row r="219" customFormat="false" ht="15" hidden="false" customHeight="false" outlineLevel="0" collapsed="false">
      <c r="A219" s="58" t="s">
        <v>186</v>
      </c>
      <c r="B219" s="67"/>
      <c r="C219" s="78" t="n">
        <v>1.53</v>
      </c>
      <c r="D219" s="67"/>
      <c r="E219" s="62"/>
      <c r="F219" s="62"/>
      <c r="G219" s="62"/>
      <c r="H219" s="62"/>
      <c r="I219" s="62"/>
      <c r="J219" s="62"/>
      <c r="K219" s="79" t="n">
        <v>0.306</v>
      </c>
      <c r="N219" s="58" t="s">
        <v>205</v>
      </c>
      <c r="O219" s="67"/>
      <c r="P219" s="67"/>
      <c r="Q219" s="67"/>
      <c r="R219" s="62"/>
      <c r="S219" s="62"/>
      <c r="T219" s="62"/>
      <c r="U219" s="62"/>
      <c r="V219" s="62"/>
      <c r="W219" s="62"/>
      <c r="X219" s="79"/>
    </row>
    <row r="220" customFormat="false" ht="15" hidden="false" customHeight="false" outlineLevel="0" collapsed="false">
      <c r="A220" s="58" t="s">
        <v>195</v>
      </c>
      <c r="B220" s="67"/>
      <c r="C220" s="67"/>
      <c r="D220" s="67"/>
      <c r="E220" s="62"/>
      <c r="F220" s="62"/>
      <c r="G220" s="62"/>
      <c r="H220" s="62"/>
      <c r="I220" s="62"/>
      <c r="J220" s="62"/>
      <c r="K220" s="79"/>
      <c r="N220" s="58" t="s">
        <v>233</v>
      </c>
      <c r="O220" s="67"/>
      <c r="P220" s="67"/>
      <c r="Q220" s="67"/>
      <c r="R220" s="62"/>
      <c r="S220" s="62"/>
      <c r="T220" s="62"/>
      <c r="U220" s="62"/>
      <c r="V220" s="62"/>
      <c r="W220" s="62"/>
      <c r="X220" s="79"/>
    </row>
    <row r="221" customFormat="false" ht="15" hidden="false" customHeight="false" outlineLevel="0" collapsed="false">
      <c r="A221" s="58" t="s">
        <v>205</v>
      </c>
      <c r="B221" s="62"/>
      <c r="C221" s="62"/>
      <c r="D221" s="62"/>
      <c r="E221" s="69"/>
      <c r="F221" s="69"/>
      <c r="G221" s="69"/>
      <c r="H221" s="70"/>
      <c r="I221" s="70"/>
      <c r="J221" s="70"/>
      <c r="K221" s="79"/>
      <c r="N221" s="58" t="s">
        <v>186</v>
      </c>
      <c r="O221" s="62"/>
      <c r="P221" s="62"/>
      <c r="Q221" s="62"/>
      <c r="R221" s="80" t="n">
        <v>1.53</v>
      </c>
      <c r="S221" s="69"/>
      <c r="T221" s="69"/>
      <c r="U221" s="70"/>
      <c r="V221" s="70"/>
      <c r="W221" s="70"/>
      <c r="X221" s="79" t="n">
        <v>0.306</v>
      </c>
    </row>
    <row r="222" customFormat="false" ht="15" hidden="false" customHeight="false" outlineLevel="0" collapsed="false">
      <c r="A222" s="58" t="s">
        <v>215</v>
      </c>
      <c r="B222" s="62"/>
      <c r="C222" s="62"/>
      <c r="D222" s="62"/>
      <c r="E222" s="69"/>
      <c r="F222" s="80" t="n">
        <v>0</v>
      </c>
      <c r="G222" s="69"/>
      <c r="H222" s="70"/>
      <c r="I222" s="81" t="n">
        <v>1.26</v>
      </c>
      <c r="J222" s="70"/>
      <c r="K222" s="79" t="n">
        <v>0.252</v>
      </c>
      <c r="N222" s="58" t="s">
        <v>215</v>
      </c>
      <c r="O222" s="62"/>
      <c r="P222" s="62"/>
      <c r="Q222" s="62"/>
      <c r="R222" s="69"/>
      <c r="S222" s="80" t="n">
        <v>0</v>
      </c>
      <c r="T222" s="80" t="n">
        <v>1.26</v>
      </c>
      <c r="U222" s="70"/>
      <c r="V222" s="70"/>
      <c r="W222" s="70"/>
      <c r="X222" s="79" t="n">
        <v>0.252</v>
      </c>
    </row>
    <row r="223" customFormat="false" ht="15" hidden="false" customHeight="false" outlineLevel="0" collapsed="false">
      <c r="A223" s="58" t="s">
        <v>223</v>
      </c>
      <c r="B223" s="62"/>
      <c r="C223" s="62"/>
      <c r="D223" s="62"/>
      <c r="E223" s="69"/>
      <c r="F223" s="69"/>
      <c r="G223" s="69"/>
      <c r="H223" s="70"/>
      <c r="I223" s="70"/>
      <c r="J223" s="70"/>
      <c r="K223" s="79"/>
      <c r="N223" s="58" t="s">
        <v>243</v>
      </c>
      <c r="O223" s="62"/>
      <c r="P223" s="62"/>
      <c r="Q223" s="62"/>
      <c r="R223" s="69"/>
      <c r="S223" s="80" t="n">
        <v>3.28</v>
      </c>
      <c r="T223" s="80" t="n">
        <v>3.98</v>
      </c>
      <c r="U223" s="70"/>
      <c r="V223" s="70"/>
      <c r="W223" s="81" t="n">
        <v>5.48</v>
      </c>
      <c r="X223" s="79" t="n">
        <v>2.548</v>
      </c>
    </row>
    <row r="224" customFormat="false" ht="15" hidden="false" customHeight="false" outlineLevel="0" collapsed="false">
      <c r="A224" s="58" t="s">
        <v>233</v>
      </c>
      <c r="B224" s="69"/>
      <c r="C224" s="69"/>
      <c r="D224" s="69"/>
      <c r="E224" s="70"/>
      <c r="F224" s="70"/>
      <c r="G224" s="70"/>
      <c r="H224" s="62"/>
      <c r="I224" s="62"/>
      <c r="J224" s="62"/>
      <c r="K224" s="79"/>
      <c r="N224" s="58" t="s">
        <v>195</v>
      </c>
      <c r="O224" s="69"/>
      <c r="P224" s="69"/>
      <c r="Q224" s="69"/>
      <c r="R224" s="70"/>
      <c r="S224" s="70"/>
      <c r="T224" s="70"/>
      <c r="U224" s="62"/>
      <c r="V224" s="62"/>
      <c r="W224" s="62"/>
      <c r="X224" s="79"/>
    </row>
    <row r="225" customFormat="false" ht="15" hidden="false" customHeight="false" outlineLevel="0" collapsed="false">
      <c r="A225" s="58" t="s">
        <v>243</v>
      </c>
      <c r="B225" s="69"/>
      <c r="C225" s="69"/>
      <c r="D225" s="69"/>
      <c r="E225" s="70"/>
      <c r="F225" s="81" t="n">
        <v>3.28</v>
      </c>
      <c r="G225" s="70"/>
      <c r="H225" s="62"/>
      <c r="I225" s="36" t="n">
        <v>3.98</v>
      </c>
      <c r="J225" s="36" t="n">
        <v>5.48</v>
      </c>
      <c r="K225" s="79" t="n">
        <v>2.548</v>
      </c>
      <c r="N225" s="58" t="s">
        <v>223</v>
      </c>
      <c r="O225" s="69"/>
      <c r="P225" s="69"/>
      <c r="Q225" s="69"/>
      <c r="R225" s="70"/>
      <c r="S225" s="70"/>
      <c r="T225" s="70"/>
      <c r="U225" s="62"/>
      <c r="V225" s="62"/>
      <c r="W225" s="62"/>
      <c r="X225" s="79"/>
    </row>
    <row r="226" customFormat="false" ht="15" hidden="false" customHeight="false" outlineLevel="0" collapsed="false">
      <c r="A226" s="58" t="s">
        <v>250</v>
      </c>
      <c r="B226" s="69"/>
      <c r="C226" s="69"/>
      <c r="D226" s="69"/>
      <c r="E226" s="70"/>
      <c r="F226" s="70"/>
      <c r="G226" s="70"/>
      <c r="H226" s="62"/>
      <c r="I226" s="36" t="n">
        <v>5.99</v>
      </c>
      <c r="J226" s="36" t="n">
        <v>6.41</v>
      </c>
      <c r="K226" s="79" t="n">
        <v>2.48</v>
      </c>
      <c r="N226" s="58" t="s">
        <v>250</v>
      </c>
      <c r="O226" s="69"/>
      <c r="P226" s="69"/>
      <c r="Q226" s="69"/>
      <c r="R226" s="70"/>
      <c r="S226" s="70"/>
      <c r="T226" s="81" t="n">
        <v>5.99</v>
      </c>
      <c r="U226" s="62"/>
      <c r="V226" s="62"/>
      <c r="W226" s="36" t="n">
        <v>6.41</v>
      </c>
      <c r="X226" s="79" t="n">
        <v>2.48</v>
      </c>
    </row>
    <row r="227" customFormat="false" ht="17.35" hidden="false" customHeight="false" outlineLevel="0" collapsed="false">
      <c r="A227" s="13" t="s">
        <v>348</v>
      </c>
      <c r="B227" s="13"/>
      <c r="C227" s="13"/>
      <c r="D227" s="13"/>
      <c r="E227" s="13"/>
      <c r="F227" s="79" t="n">
        <v>0.656</v>
      </c>
      <c r="G227" s="79"/>
      <c r="H227" s="79"/>
      <c r="I227" s="79" t="n">
        <v>2.246</v>
      </c>
      <c r="J227" s="79" t="n">
        <v>2.378</v>
      </c>
      <c r="K227" s="74" t="n">
        <v>6.85266666666667</v>
      </c>
      <c r="N227" s="13" t="s">
        <v>349</v>
      </c>
      <c r="O227" s="13"/>
      <c r="P227" s="13"/>
      <c r="Q227" s="13"/>
      <c r="R227" s="13"/>
      <c r="S227" s="79" t="n">
        <v>0.656</v>
      </c>
      <c r="T227" s="79" t="n">
        <v>2.246</v>
      </c>
      <c r="U227" s="79"/>
      <c r="V227" s="79"/>
      <c r="W227" s="79" t="n">
        <v>2.378</v>
      </c>
      <c r="X227" s="74" t="n">
        <v>6.85266666666667</v>
      </c>
    </row>
    <row r="229" customFormat="false" ht="15" hidden="false" customHeight="false" outlineLevel="0" collapsed="false">
      <c r="A229" s="58" t="s">
        <v>271</v>
      </c>
      <c r="B229" s="58" t="s">
        <v>169</v>
      </c>
      <c r="C229" s="58" t="s">
        <v>172</v>
      </c>
      <c r="D229" s="58" t="s">
        <v>175</v>
      </c>
      <c r="E229" s="58" t="s">
        <v>270</v>
      </c>
      <c r="G229" s="58" t="s">
        <v>262</v>
      </c>
      <c r="H229" s="58" t="s">
        <v>169</v>
      </c>
      <c r="I229" s="58" t="s">
        <v>172</v>
      </c>
      <c r="J229" s="58" t="s">
        <v>175</v>
      </c>
      <c r="K229" s="58" t="s">
        <v>270</v>
      </c>
      <c r="N229" s="58" t="s">
        <v>271</v>
      </c>
      <c r="O229" s="58" t="s">
        <v>169</v>
      </c>
      <c r="P229" s="58" t="s">
        <v>172</v>
      </c>
      <c r="Q229" s="58" t="s">
        <v>175</v>
      </c>
      <c r="R229" s="58" t="s">
        <v>270</v>
      </c>
      <c r="T229" s="58" t="s">
        <v>262</v>
      </c>
      <c r="U229" s="58" t="s">
        <v>169</v>
      </c>
      <c r="V229" s="58" t="s">
        <v>172</v>
      </c>
      <c r="W229" s="58" t="s">
        <v>175</v>
      </c>
      <c r="X229" s="58" t="s">
        <v>270</v>
      </c>
    </row>
    <row r="230" customFormat="false" ht="15" hidden="false" customHeight="false" outlineLevel="0" collapsed="false">
      <c r="A230" s="58" t="s">
        <v>186</v>
      </c>
      <c r="B230" s="78" t="n">
        <v>7.86333333333333</v>
      </c>
      <c r="C230" s="62"/>
      <c r="D230" s="62"/>
      <c r="E230" s="74" t="n">
        <v>7.86333333333333</v>
      </c>
      <c r="G230" s="58" t="s">
        <v>186</v>
      </c>
      <c r="H230" s="78" t="n">
        <v>22.949703278529</v>
      </c>
      <c r="I230" s="36" t="n">
        <v>0</v>
      </c>
      <c r="J230" s="36" t="n">
        <v>0</v>
      </c>
      <c r="K230" s="74" t="n">
        <v>22.949703278529</v>
      </c>
      <c r="N230" s="58" t="s">
        <v>186</v>
      </c>
      <c r="O230" s="78" t="n">
        <v>6.33333333333333</v>
      </c>
      <c r="P230" s="62"/>
      <c r="Q230" s="62"/>
      <c r="R230" s="74" t="n">
        <v>6.33333333333333</v>
      </c>
      <c r="T230" s="58" t="s">
        <v>177</v>
      </c>
      <c r="U230" s="78" t="n">
        <v>18.4842883548983</v>
      </c>
      <c r="V230" s="36" t="n">
        <v>0</v>
      </c>
      <c r="W230" s="36" t="n">
        <v>0</v>
      </c>
      <c r="X230" s="74" t="n">
        <v>18.4842883548983</v>
      </c>
    </row>
    <row r="231" customFormat="false" ht="15" hidden="false" customHeight="false" outlineLevel="0" collapsed="false">
      <c r="A231" s="58" t="s">
        <v>215</v>
      </c>
      <c r="B231" s="62"/>
      <c r="C231" s="69"/>
      <c r="D231" s="81" t="n">
        <v>1.26</v>
      </c>
      <c r="E231" s="74" t="n">
        <v>1.26</v>
      </c>
      <c r="G231" s="58" t="s">
        <v>215</v>
      </c>
      <c r="H231" s="36" t="n">
        <v>0</v>
      </c>
      <c r="I231" s="80" t="n">
        <v>0</v>
      </c>
      <c r="J231" s="81" t="n">
        <v>3.67740052534293</v>
      </c>
      <c r="K231" s="74" t="n">
        <v>3.67740052534293</v>
      </c>
      <c r="N231" s="58" t="s">
        <v>215</v>
      </c>
      <c r="O231" s="62"/>
      <c r="P231" s="80" t="n">
        <v>10.05</v>
      </c>
      <c r="Q231" s="81" t="n">
        <v>5.48</v>
      </c>
      <c r="R231" s="74" t="n">
        <v>15.53</v>
      </c>
      <c r="T231" s="58" t="s">
        <v>215</v>
      </c>
      <c r="U231" s="36" t="n">
        <v>0</v>
      </c>
      <c r="V231" s="80" t="n">
        <v>29.3316470473782</v>
      </c>
      <c r="W231" s="81" t="n">
        <v>15.9937737133962</v>
      </c>
      <c r="X231" s="74" t="n">
        <v>45.3254207607744</v>
      </c>
    </row>
    <row r="232" customFormat="false" ht="15" hidden="false" customHeight="false" outlineLevel="0" collapsed="false">
      <c r="A232" s="58" t="s">
        <v>243</v>
      </c>
      <c r="B232" s="69"/>
      <c r="C232" s="81" t="n">
        <v>3.28</v>
      </c>
      <c r="D232" s="36" t="n">
        <v>21.86</v>
      </c>
      <c r="E232" s="74" t="n">
        <v>25.14</v>
      </c>
      <c r="G232" s="58" t="s">
        <v>243</v>
      </c>
      <c r="H232" s="80" t="n">
        <v>0</v>
      </c>
      <c r="I232" s="81" t="n">
        <v>9.57291565327367</v>
      </c>
      <c r="J232" s="36" t="n">
        <v>63.7999805428544</v>
      </c>
      <c r="K232" s="74" t="n">
        <v>73.372896196128</v>
      </c>
      <c r="N232" s="58" t="s">
        <v>243</v>
      </c>
      <c r="O232" s="69"/>
      <c r="P232" s="81" t="n">
        <v>5.99</v>
      </c>
      <c r="Q232" s="36" t="n">
        <v>6.41</v>
      </c>
      <c r="R232" s="74" t="n">
        <v>12.4</v>
      </c>
      <c r="T232" s="58" t="s">
        <v>243</v>
      </c>
      <c r="U232" s="80" t="n">
        <v>0</v>
      </c>
      <c r="V232" s="81" t="n">
        <v>17.4822453546065</v>
      </c>
      <c r="W232" s="36" t="n">
        <v>18.7080455297208</v>
      </c>
      <c r="X232" s="74" t="n">
        <v>36.1902908843273</v>
      </c>
    </row>
    <row r="233" customFormat="false" ht="15" hidden="false" customHeight="false" outlineLevel="0" collapsed="false">
      <c r="A233" s="58" t="s">
        <v>270</v>
      </c>
      <c r="B233" s="74" t="n">
        <v>7.86333333333333</v>
      </c>
      <c r="C233" s="74" t="n">
        <v>3.28</v>
      </c>
      <c r="D233" s="74" t="n">
        <v>23.12</v>
      </c>
      <c r="E233" s="74" t="n">
        <v>34.2633333333333</v>
      </c>
      <c r="G233" s="58" t="s">
        <v>270</v>
      </c>
      <c r="H233" s="74" t="n">
        <v>22.949703278529</v>
      </c>
      <c r="I233" s="74" t="n">
        <v>9.57291565327367</v>
      </c>
      <c r="J233" s="74" t="n">
        <v>67.4773810681973</v>
      </c>
      <c r="K233" s="74" t="n">
        <v>100</v>
      </c>
      <c r="N233" s="58" t="s">
        <v>270</v>
      </c>
      <c r="O233" s="74" t="n">
        <v>6.33333333333333</v>
      </c>
      <c r="P233" s="74" t="n">
        <v>16.04</v>
      </c>
      <c r="Q233" s="74" t="n">
        <v>11.89</v>
      </c>
      <c r="R233" s="74" t="n">
        <v>34.2633333333333</v>
      </c>
      <c r="T233" s="58" t="s">
        <v>270</v>
      </c>
      <c r="U233" s="74" t="n">
        <v>18.4842883548983</v>
      </c>
      <c r="V233" s="74" t="n">
        <v>46.8138924019846</v>
      </c>
      <c r="W233" s="74" t="n">
        <v>34.701819243117</v>
      </c>
      <c r="X233" s="74" t="n">
        <v>100</v>
      </c>
    </row>
    <row r="237" customFormat="false" ht="17.35" hidden="false" customHeight="false" outlineLevel="0" collapsed="false">
      <c r="A237" s="13" t="s">
        <v>350</v>
      </c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N237" s="13" t="s">
        <v>351</v>
      </c>
      <c r="O237" s="13"/>
      <c r="P237" s="13"/>
      <c r="Q237" s="13"/>
      <c r="R237" s="13"/>
      <c r="S237" s="13"/>
      <c r="T237" s="13"/>
      <c r="U237" s="13"/>
      <c r="V237" s="13"/>
      <c r="W237" s="13"/>
      <c r="X237" s="13"/>
    </row>
    <row r="239" customFormat="false" ht="15" hidden="false" customHeight="false" outlineLevel="0" collapsed="false">
      <c r="A239" s="58" t="s">
        <v>312</v>
      </c>
      <c r="B239" s="58" t="s">
        <v>168</v>
      </c>
      <c r="C239" s="58" t="s">
        <v>169</v>
      </c>
      <c r="D239" s="58" t="s">
        <v>170</v>
      </c>
      <c r="E239" s="58" t="s">
        <v>171</v>
      </c>
      <c r="F239" s="58" t="s">
        <v>172</v>
      </c>
      <c r="G239" s="58" t="s">
        <v>173</v>
      </c>
      <c r="H239" s="58" t="s">
        <v>174</v>
      </c>
      <c r="I239" s="58" t="s">
        <v>175</v>
      </c>
      <c r="J239" s="58" t="s">
        <v>176</v>
      </c>
      <c r="K239" s="58" t="s">
        <v>319</v>
      </c>
      <c r="N239" s="58" t="s">
        <v>312</v>
      </c>
      <c r="O239" s="58" t="s">
        <v>168</v>
      </c>
      <c r="P239" s="58" t="s">
        <v>171</v>
      </c>
      <c r="Q239" s="58" t="s">
        <v>174</v>
      </c>
      <c r="R239" s="58" t="s">
        <v>169</v>
      </c>
      <c r="S239" s="58" t="s">
        <v>172</v>
      </c>
      <c r="T239" s="58" t="s">
        <v>175</v>
      </c>
      <c r="U239" s="58" t="s">
        <v>170</v>
      </c>
      <c r="V239" s="58" t="s">
        <v>173</v>
      </c>
      <c r="W239" s="58" t="s">
        <v>176</v>
      </c>
      <c r="X239" s="58" t="s">
        <v>319</v>
      </c>
    </row>
    <row r="240" customFormat="false" ht="15" hidden="false" customHeight="false" outlineLevel="0" collapsed="false">
      <c r="A240" s="58" t="s">
        <v>177</v>
      </c>
      <c r="B240" s="78" t="n">
        <v>6.33333333333333</v>
      </c>
      <c r="C240" s="67"/>
      <c r="D240" s="67"/>
      <c r="E240" s="62"/>
      <c r="F240" s="62"/>
      <c r="G240" s="62"/>
      <c r="H240" s="62"/>
      <c r="I240" s="62"/>
      <c r="J240" s="62"/>
      <c r="K240" s="79" t="n">
        <v>1.26666666666667</v>
      </c>
      <c r="N240" s="58" t="s">
        <v>177</v>
      </c>
      <c r="O240" s="78" t="n">
        <v>6.33333333333333</v>
      </c>
      <c r="P240" s="67"/>
      <c r="Q240" s="67"/>
      <c r="R240" s="62"/>
      <c r="S240" s="62"/>
      <c r="T240" s="62"/>
      <c r="U240" s="62"/>
      <c r="V240" s="62"/>
      <c r="W240" s="62"/>
      <c r="X240" s="79" t="n">
        <v>1.26666666666667</v>
      </c>
    </row>
    <row r="241" customFormat="false" ht="15" hidden="false" customHeight="false" outlineLevel="0" collapsed="false">
      <c r="A241" s="58" t="s">
        <v>186</v>
      </c>
      <c r="B241" s="67"/>
      <c r="C241" s="78" t="n">
        <v>1.53</v>
      </c>
      <c r="D241" s="67"/>
      <c r="E241" s="62"/>
      <c r="F241" s="62"/>
      <c r="G241" s="62"/>
      <c r="H241" s="62"/>
      <c r="I241" s="62"/>
      <c r="J241" s="62"/>
      <c r="K241" s="79" t="n">
        <v>0.306</v>
      </c>
      <c r="N241" s="58" t="s">
        <v>205</v>
      </c>
      <c r="O241" s="67"/>
      <c r="P241" s="67"/>
      <c r="Q241" s="67"/>
      <c r="R241" s="62"/>
      <c r="S241" s="62"/>
      <c r="T241" s="62"/>
      <c r="U241" s="62"/>
      <c r="V241" s="62"/>
      <c r="W241" s="62"/>
      <c r="X241" s="79"/>
    </row>
    <row r="242" customFormat="false" ht="15" hidden="false" customHeight="false" outlineLevel="0" collapsed="false">
      <c r="A242" s="58" t="s">
        <v>195</v>
      </c>
      <c r="B242" s="67"/>
      <c r="C242" s="67"/>
      <c r="D242" s="67"/>
      <c r="E242" s="62"/>
      <c r="F242" s="62"/>
      <c r="G242" s="62"/>
      <c r="H242" s="62"/>
      <c r="I242" s="62"/>
      <c r="J242" s="62"/>
      <c r="K242" s="79"/>
      <c r="N242" s="58" t="s">
        <v>233</v>
      </c>
      <c r="O242" s="67"/>
      <c r="P242" s="67"/>
      <c r="Q242" s="67"/>
      <c r="R242" s="62"/>
      <c r="S242" s="62"/>
      <c r="T242" s="62"/>
      <c r="U242" s="62"/>
      <c r="V242" s="62"/>
      <c r="W242" s="62"/>
      <c r="X242" s="79"/>
    </row>
    <row r="243" customFormat="false" ht="15" hidden="false" customHeight="false" outlineLevel="0" collapsed="false">
      <c r="A243" s="58" t="s">
        <v>205</v>
      </c>
      <c r="B243" s="62"/>
      <c r="C243" s="62"/>
      <c r="D243" s="62"/>
      <c r="E243" s="69"/>
      <c r="F243" s="69"/>
      <c r="G243" s="69"/>
      <c r="H243" s="70"/>
      <c r="I243" s="70"/>
      <c r="J243" s="70"/>
      <c r="K243" s="79"/>
      <c r="N243" s="58" t="s">
        <v>186</v>
      </c>
      <c r="O243" s="62"/>
      <c r="P243" s="62"/>
      <c r="Q243" s="62"/>
      <c r="R243" s="80" t="n">
        <v>1.53</v>
      </c>
      <c r="S243" s="69"/>
      <c r="T243" s="69"/>
      <c r="U243" s="70"/>
      <c r="V243" s="70"/>
      <c r="W243" s="70"/>
      <c r="X243" s="79" t="n">
        <v>0.306</v>
      </c>
    </row>
    <row r="244" customFormat="false" ht="15" hidden="false" customHeight="false" outlineLevel="0" collapsed="false">
      <c r="A244" s="58" t="s">
        <v>215</v>
      </c>
      <c r="B244" s="62"/>
      <c r="C244" s="62"/>
      <c r="D244" s="62"/>
      <c r="E244" s="69"/>
      <c r="F244" s="80" t="n">
        <v>0</v>
      </c>
      <c r="G244" s="69"/>
      <c r="H244" s="70"/>
      <c r="I244" s="81" t="n">
        <v>3.255</v>
      </c>
      <c r="J244" s="70"/>
      <c r="K244" s="79" t="n">
        <v>0.651</v>
      </c>
      <c r="N244" s="58" t="s">
        <v>215</v>
      </c>
      <c r="O244" s="62"/>
      <c r="P244" s="62"/>
      <c r="Q244" s="62"/>
      <c r="R244" s="69"/>
      <c r="S244" s="80" t="n">
        <v>0</v>
      </c>
      <c r="T244" s="80" t="n">
        <v>3.255</v>
      </c>
      <c r="U244" s="70"/>
      <c r="V244" s="70"/>
      <c r="W244" s="70"/>
      <c r="X244" s="79" t="n">
        <v>0.651</v>
      </c>
    </row>
    <row r="245" customFormat="false" ht="15" hidden="false" customHeight="false" outlineLevel="0" collapsed="false">
      <c r="A245" s="58" t="s">
        <v>223</v>
      </c>
      <c r="B245" s="62"/>
      <c r="C245" s="62"/>
      <c r="D245" s="62"/>
      <c r="E245" s="69"/>
      <c r="F245" s="69"/>
      <c r="G245" s="69"/>
      <c r="H245" s="70"/>
      <c r="I245" s="70"/>
      <c r="J245" s="70"/>
      <c r="K245" s="79"/>
      <c r="N245" s="58" t="s">
        <v>243</v>
      </c>
      <c r="O245" s="62"/>
      <c r="P245" s="62"/>
      <c r="Q245" s="62"/>
      <c r="R245" s="69"/>
      <c r="S245" s="80" t="n">
        <v>1.42</v>
      </c>
      <c r="T245" s="80" t="n">
        <v>4.035</v>
      </c>
      <c r="U245" s="70"/>
      <c r="V245" s="70"/>
      <c r="W245" s="81" t="n">
        <v>5.78</v>
      </c>
      <c r="X245" s="79" t="n">
        <v>2.247</v>
      </c>
    </row>
    <row r="246" customFormat="false" ht="15" hidden="false" customHeight="false" outlineLevel="0" collapsed="false">
      <c r="A246" s="58" t="s">
        <v>233</v>
      </c>
      <c r="B246" s="69"/>
      <c r="C246" s="69"/>
      <c r="D246" s="69"/>
      <c r="E246" s="70"/>
      <c r="F246" s="70"/>
      <c r="G246" s="70"/>
      <c r="H246" s="62"/>
      <c r="I246" s="62"/>
      <c r="J246" s="62"/>
      <c r="K246" s="79"/>
      <c r="N246" s="58" t="s">
        <v>195</v>
      </c>
      <c r="O246" s="69"/>
      <c r="P246" s="69"/>
      <c r="Q246" s="69"/>
      <c r="R246" s="70"/>
      <c r="S246" s="70"/>
      <c r="T246" s="70"/>
      <c r="U246" s="62"/>
      <c r="V246" s="62"/>
      <c r="W246" s="62"/>
      <c r="X246" s="79"/>
    </row>
    <row r="247" customFormat="false" ht="15" hidden="false" customHeight="false" outlineLevel="0" collapsed="false">
      <c r="A247" s="58" t="s">
        <v>243</v>
      </c>
      <c r="B247" s="69"/>
      <c r="C247" s="69"/>
      <c r="D247" s="69"/>
      <c r="E247" s="70"/>
      <c r="F247" s="81" t="n">
        <v>1.42</v>
      </c>
      <c r="G247" s="70"/>
      <c r="H247" s="62"/>
      <c r="I247" s="36" t="n">
        <v>4.035</v>
      </c>
      <c r="J247" s="36" t="n">
        <v>5.78</v>
      </c>
      <c r="K247" s="79" t="n">
        <v>2.247</v>
      </c>
      <c r="N247" s="58" t="s">
        <v>223</v>
      </c>
      <c r="O247" s="69"/>
      <c r="P247" s="69"/>
      <c r="Q247" s="69"/>
      <c r="R247" s="70"/>
      <c r="S247" s="70"/>
      <c r="T247" s="70"/>
      <c r="U247" s="62"/>
      <c r="V247" s="62"/>
      <c r="W247" s="62"/>
      <c r="X247" s="79"/>
    </row>
    <row r="248" customFormat="false" ht="15" hidden="false" customHeight="false" outlineLevel="0" collapsed="false">
      <c r="A248" s="58" t="s">
        <v>250</v>
      </c>
      <c r="B248" s="69"/>
      <c r="C248" s="69"/>
      <c r="D248" s="69"/>
      <c r="E248" s="70"/>
      <c r="F248" s="70"/>
      <c r="G248" s="70"/>
      <c r="H248" s="62"/>
      <c r="I248" s="36" t="n">
        <v>5.7</v>
      </c>
      <c r="J248" s="36" t="n">
        <v>6.415</v>
      </c>
      <c r="K248" s="79" t="n">
        <v>2.423</v>
      </c>
      <c r="N248" s="58" t="s">
        <v>250</v>
      </c>
      <c r="O248" s="69"/>
      <c r="P248" s="69"/>
      <c r="Q248" s="69"/>
      <c r="R248" s="70"/>
      <c r="S248" s="70"/>
      <c r="T248" s="81" t="n">
        <v>5.7</v>
      </c>
      <c r="U248" s="62"/>
      <c r="V248" s="62"/>
      <c r="W248" s="36" t="n">
        <v>6.415</v>
      </c>
      <c r="X248" s="79" t="n">
        <v>2.423</v>
      </c>
    </row>
    <row r="249" customFormat="false" ht="17.35" hidden="false" customHeight="false" outlineLevel="0" collapsed="false">
      <c r="A249" s="13" t="s">
        <v>352</v>
      </c>
      <c r="B249" s="13"/>
      <c r="C249" s="13"/>
      <c r="D249" s="13"/>
      <c r="E249" s="13"/>
      <c r="F249" s="79" t="n">
        <v>0.284</v>
      </c>
      <c r="G249" s="79"/>
      <c r="H249" s="79"/>
      <c r="I249" s="79" t="n">
        <v>2.598</v>
      </c>
      <c r="J249" s="79" t="n">
        <v>2.439</v>
      </c>
      <c r="K249" s="74" t="n">
        <v>6.89366666666667</v>
      </c>
      <c r="N249" s="13" t="s">
        <v>353</v>
      </c>
      <c r="O249" s="13"/>
      <c r="P249" s="13"/>
      <c r="Q249" s="13"/>
      <c r="R249" s="13"/>
      <c r="S249" s="79" t="n">
        <v>0.284</v>
      </c>
      <c r="T249" s="79" t="n">
        <v>2.598</v>
      </c>
      <c r="U249" s="79"/>
      <c r="V249" s="79"/>
      <c r="W249" s="79" t="n">
        <v>2.439</v>
      </c>
      <c r="X249" s="74" t="n">
        <v>6.89366666666667</v>
      </c>
    </row>
    <row r="251" customFormat="false" ht="15" hidden="false" customHeight="false" outlineLevel="0" collapsed="false">
      <c r="A251" s="58" t="s">
        <v>271</v>
      </c>
      <c r="B251" s="58" t="s">
        <v>169</v>
      </c>
      <c r="C251" s="58" t="s">
        <v>172</v>
      </c>
      <c r="D251" s="58" t="s">
        <v>175</v>
      </c>
      <c r="E251" s="58" t="s">
        <v>270</v>
      </c>
      <c r="G251" s="58" t="s">
        <v>262</v>
      </c>
      <c r="H251" s="58" t="s">
        <v>169</v>
      </c>
      <c r="I251" s="58" t="s">
        <v>172</v>
      </c>
      <c r="J251" s="58" t="s">
        <v>175</v>
      </c>
      <c r="K251" s="58" t="s">
        <v>270</v>
      </c>
      <c r="N251" s="58" t="s">
        <v>271</v>
      </c>
      <c r="O251" s="58" t="s">
        <v>169</v>
      </c>
      <c r="P251" s="58" t="s">
        <v>172</v>
      </c>
      <c r="Q251" s="58" t="s">
        <v>175</v>
      </c>
      <c r="R251" s="58" t="s">
        <v>270</v>
      </c>
      <c r="T251" s="58" t="s">
        <v>262</v>
      </c>
      <c r="U251" s="58" t="s">
        <v>169</v>
      </c>
      <c r="V251" s="58" t="s">
        <v>172</v>
      </c>
      <c r="W251" s="58" t="s">
        <v>175</v>
      </c>
      <c r="X251" s="58" t="s">
        <v>270</v>
      </c>
    </row>
    <row r="252" customFormat="false" ht="15" hidden="false" customHeight="false" outlineLevel="0" collapsed="false">
      <c r="A252" s="58" t="s">
        <v>186</v>
      </c>
      <c r="B252" s="78" t="n">
        <v>7.86333333333333</v>
      </c>
      <c r="C252" s="62"/>
      <c r="D252" s="62"/>
      <c r="E252" s="74" t="n">
        <v>7.86333333333333</v>
      </c>
      <c r="G252" s="58" t="s">
        <v>186</v>
      </c>
      <c r="H252" s="78" t="n">
        <v>22.8132101929307</v>
      </c>
      <c r="I252" s="36" t="n">
        <v>0</v>
      </c>
      <c r="J252" s="36" t="n">
        <v>0</v>
      </c>
      <c r="K252" s="74" t="n">
        <v>22.8132101929307</v>
      </c>
      <c r="N252" s="58" t="s">
        <v>186</v>
      </c>
      <c r="O252" s="78" t="n">
        <v>6.33333333333333</v>
      </c>
      <c r="P252" s="62"/>
      <c r="Q252" s="62"/>
      <c r="R252" s="74" t="n">
        <v>6.33333333333333</v>
      </c>
      <c r="T252" s="58" t="s">
        <v>177</v>
      </c>
      <c r="U252" s="78" t="n">
        <v>18.3743532711184</v>
      </c>
      <c r="V252" s="36" t="n">
        <v>0</v>
      </c>
      <c r="W252" s="36" t="n">
        <v>0</v>
      </c>
      <c r="X252" s="74" t="n">
        <v>18.3743532711184</v>
      </c>
    </row>
    <row r="253" customFormat="false" ht="15" hidden="false" customHeight="false" outlineLevel="0" collapsed="false">
      <c r="A253" s="58" t="s">
        <v>215</v>
      </c>
      <c r="B253" s="62"/>
      <c r="C253" s="69"/>
      <c r="D253" s="81" t="n">
        <v>3.255</v>
      </c>
      <c r="E253" s="74" t="n">
        <v>3.255</v>
      </c>
      <c r="G253" s="58" t="s">
        <v>215</v>
      </c>
      <c r="H253" s="36" t="n">
        <v>0</v>
      </c>
      <c r="I253" s="80" t="n">
        <v>0</v>
      </c>
      <c r="J253" s="81" t="n">
        <v>9.44345051013007</v>
      </c>
      <c r="K253" s="74" t="n">
        <v>9.44345051013007</v>
      </c>
      <c r="N253" s="58" t="s">
        <v>215</v>
      </c>
      <c r="O253" s="62"/>
      <c r="P253" s="80" t="n">
        <v>10.24</v>
      </c>
      <c r="Q253" s="81" t="n">
        <v>5.78</v>
      </c>
      <c r="R253" s="74" t="n">
        <v>16.02</v>
      </c>
      <c r="T253" s="58" t="s">
        <v>215</v>
      </c>
      <c r="U253" s="36" t="n">
        <v>0</v>
      </c>
      <c r="V253" s="80" t="n">
        <v>29.7084280257241</v>
      </c>
      <c r="W253" s="81" t="n">
        <v>16.7690150379576</v>
      </c>
      <c r="X253" s="74" t="n">
        <v>46.4774430636816</v>
      </c>
    </row>
    <row r="254" customFormat="false" ht="15" hidden="false" customHeight="false" outlineLevel="0" collapsed="false">
      <c r="A254" s="58" t="s">
        <v>243</v>
      </c>
      <c r="B254" s="69"/>
      <c r="C254" s="81" t="n">
        <v>1.42</v>
      </c>
      <c r="D254" s="36" t="n">
        <v>21.93</v>
      </c>
      <c r="E254" s="74" t="n">
        <v>23.35</v>
      </c>
      <c r="G254" s="58" t="s">
        <v>243</v>
      </c>
      <c r="H254" s="80" t="n">
        <v>0</v>
      </c>
      <c r="I254" s="81" t="n">
        <v>4.11972341762971</v>
      </c>
      <c r="J254" s="36" t="n">
        <v>63.6236158793095</v>
      </c>
      <c r="K254" s="74" t="n">
        <v>67.7433392969392</v>
      </c>
      <c r="N254" s="58" t="s">
        <v>243</v>
      </c>
      <c r="O254" s="69"/>
      <c r="P254" s="81" t="n">
        <v>5.7</v>
      </c>
      <c r="Q254" s="36" t="n">
        <v>6.415</v>
      </c>
      <c r="R254" s="74" t="n">
        <v>12.115</v>
      </c>
      <c r="T254" s="58" t="s">
        <v>243</v>
      </c>
      <c r="U254" s="80" t="n">
        <v>0</v>
      </c>
      <c r="V254" s="81" t="n">
        <v>16.5369179440066</v>
      </c>
      <c r="W254" s="36" t="n">
        <v>18.6112857211934</v>
      </c>
      <c r="X254" s="74" t="n">
        <v>35.1482036651999</v>
      </c>
    </row>
    <row r="255" customFormat="false" ht="15" hidden="false" customHeight="false" outlineLevel="0" collapsed="false">
      <c r="A255" s="58" t="s">
        <v>270</v>
      </c>
      <c r="B255" s="74" t="n">
        <v>7.86333333333333</v>
      </c>
      <c r="C255" s="74" t="n">
        <v>1.42</v>
      </c>
      <c r="D255" s="74" t="n">
        <v>25.185</v>
      </c>
      <c r="E255" s="74" t="n">
        <v>34.4683333333333</v>
      </c>
      <c r="G255" s="58" t="s">
        <v>270</v>
      </c>
      <c r="H255" s="74" t="n">
        <v>22.8132101929307</v>
      </c>
      <c r="I255" s="74" t="n">
        <v>4.11972341762971</v>
      </c>
      <c r="J255" s="74" t="n">
        <v>73.0670663894396</v>
      </c>
      <c r="K255" s="74" t="n">
        <v>100</v>
      </c>
      <c r="N255" s="58" t="s">
        <v>270</v>
      </c>
      <c r="O255" s="74" t="n">
        <v>6.33333333333333</v>
      </c>
      <c r="P255" s="74" t="n">
        <v>15.94</v>
      </c>
      <c r="Q255" s="74" t="n">
        <v>12.195</v>
      </c>
      <c r="R255" s="74" t="n">
        <v>34.4683333333333</v>
      </c>
      <c r="T255" s="58" t="s">
        <v>270</v>
      </c>
      <c r="U255" s="74" t="n">
        <v>18.3743532711184</v>
      </c>
      <c r="V255" s="74" t="n">
        <v>46.2453459697307</v>
      </c>
      <c r="W255" s="74" t="n">
        <v>35.3803007591509</v>
      </c>
      <c r="X255" s="74" t="n">
        <v>100</v>
      </c>
    </row>
    <row r="259" customFormat="false" ht="17.35" hidden="false" customHeight="false" outlineLevel="0" collapsed="false">
      <c r="A259" s="13" t="s">
        <v>354</v>
      </c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N259" s="13" t="s">
        <v>355</v>
      </c>
      <c r="O259" s="13"/>
      <c r="P259" s="13"/>
      <c r="Q259" s="13"/>
      <c r="R259" s="13"/>
      <c r="S259" s="13"/>
      <c r="T259" s="13"/>
      <c r="U259" s="13"/>
      <c r="V259" s="13"/>
      <c r="W259" s="13"/>
      <c r="X259" s="13"/>
    </row>
    <row r="261" customFormat="false" ht="15" hidden="false" customHeight="false" outlineLevel="0" collapsed="false">
      <c r="A261" s="58" t="s">
        <v>312</v>
      </c>
      <c r="B261" s="58" t="s">
        <v>168</v>
      </c>
      <c r="C261" s="58" t="s">
        <v>169</v>
      </c>
      <c r="D261" s="58" t="s">
        <v>170</v>
      </c>
      <c r="E261" s="58" t="s">
        <v>171</v>
      </c>
      <c r="F261" s="58" t="s">
        <v>172</v>
      </c>
      <c r="G261" s="58" t="s">
        <v>173</v>
      </c>
      <c r="H261" s="58" t="s">
        <v>174</v>
      </c>
      <c r="I261" s="58" t="s">
        <v>175</v>
      </c>
      <c r="J261" s="58" t="s">
        <v>176</v>
      </c>
      <c r="K261" s="58" t="s">
        <v>319</v>
      </c>
      <c r="N261" s="58" t="s">
        <v>312</v>
      </c>
      <c r="O261" s="58" t="s">
        <v>168</v>
      </c>
      <c r="P261" s="58" t="s">
        <v>171</v>
      </c>
      <c r="Q261" s="58" t="s">
        <v>174</v>
      </c>
      <c r="R261" s="58" t="s">
        <v>169</v>
      </c>
      <c r="S261" s="58" t="s">
        <v>172</v>
      </c>
      <c r="T261" s="58" t="s">
        <v>175</v>
      </c>
      <c r="U261" s="58" t="s">
        <v>170</v>
      </c>
      <c r="V261" s="58" t="s">
        <v>173</v>
      </c>
      <c r="W261" s="58" t="s">
        <v>176</v>
      </c>
      <c r="X261" s="58" t="s">
        <v>319</v>
      </c>
    </row>
    <row r="262" customFormat="false" ht="15" hidden="false" customHeight="false" outlineLevel="0" collapsed="false">
      <c r="A262" s="58" t="s">
        <v>177</v>
      </c>
      <c r="B262" s="78" t="n">
        <v>12.6666666666667</v>
      </c>
      <c r="C262" s="67"/>
      <c r="D262" s="67"/>
      <c r="E262" s="62"/>
      <c r="F262" s="62"/>
      <c r="G262" s="62"/>
      <c r="H262" s="62"/>
      <c r="I262" s="62"/>
      <c r="J262" s="62"/>
      <c r="K262" s="79" t="n">
        <v>2.53333333333333</v>
      </c>
      <c r="N262" s="58" t="s">
        <v>177</v>
      </c>
      <c r="O262" s="78" t="n">
        <v>12.6666666666667</v>
      </c>
      <c r="P262" s="67"/>
      <c r="Q262" s="67"/>
      <c r="R262" s="62"/>
      <c r="S262" s="62"/>
      <c r="T262" s="62"/>
      <c r="U262" s="62"/>
      <c r="V262" s="62"/>
      <c r="W262" s="62"/>
      <c r="X262" s="79" t="n">
        <v>2.53333333333333</v>
      </c>
    </row>
    <row r="263" customFormat="false" ht="15" hidden="false" customHeight="false" outlineLevel="0" collapsed="false">
      <c r="A263" s="58" t="s">
        <v>186</v>
      </c>
      <c r="B263" s="67"/>
      <c r="C263" s="78" t="n">
        <v>3.06</v>
      </c>
      <c r="D263" s="67"/>
      <c r="E263" s="62"/>
      <c r="F263" s="62"/>
      <c r="G263" s="62"/>
      <c r="H263" s="62"/>
      <c r="I263" s="62"/>
      <c r="J263" s="62"/>
      <c r="K263" s="79" t="n">
        <v>0.612</v>
      </c>
      <c r="N263" s="58" t="s">
        <v>205</v>
      </c>
      <c r="O263" s="67"/>
      <c r="P263" s="67"/>
      <c r="Q263" s="67"/>
      <c r="R263" s="62"/>
      <c r="S263" s="62"/>
      <c r="T263" s="62"/>
      <c r="U263" s="62"/>
      <c r="V263" s="62"/>
      <c r="W263" s="62"/>
      <c r="X263" s="79"/>
    </row>
    <row r="264" customFormat="false" ht="15" hidden="false" customHeight="false" outlineLevel="0" collapsed="false">
      <c r="A264" s="58" t="s">
        <v>195</v>
      </c>
      <c r="B264" s="67"/>
      <c r="C264" s="67"/>
      <c r="D264" s="67"/>
      <c r="E264" s="62"/>
      <c r="F264" s="62"/>
      <c r="G264" s="62"/>
      <c r="H264" s="62"/>
      <c r="I264" s="62"/>
      <c r="J264" s="62"/>
      <c r="K264" s="79"/>
      <c r="N264" s="58" t="s">
        <v>233</v>
      </c>
      <c r="O264" s="67"/>
      <c r="P264" s="67"/>
      <c r="Q264" s="67"/>
      <c r="R264" s="62"/>
      <c r="S264" s="62"/>
      <c r="T264" s="62"/>
      <c r="U264" s="62"/>
      <c r="V264" s="62"/>
      <c r="W264" s="62"/>
      <c r="X264" s="79"/>
    </row>
    <row r="265" customFormat="false" ht="15" hidden="false" customHeight="false" outlineLevel="0" collapsed="false">
      <c r="A265" s="58" t="s">
        <v>205</v>
      </c>
      <c r="B265" s="62"/>
      <c r="C265" s="62"/>
      <c r="D265" s="62"/>
      <c r="E265" s="69"/>
      <c r="F265" s="69"/>
      <c r="G265" s="69"/>
      <c r="H265" s="70"/>
      <c r="I265" s="70"/>
      <c r="J265" s="70"/>
      <c r="K265" s="79"/>
      <c r="N265" s="58" t="s">
        <v>186</v>
      </c>
      <c r="O265" s="62"/>
      <c r="P265" s="62"/>
      <c r="Q265" s="62"/>
      <c r="R265" s="80" t="n">
        <v>3.06</v>
      </c>
      <c r="S265" s="69"/>
      <c r="T265" s="69"/>
      <c r="U265" s="70"/>
      <c r="V265" s="70"/>
      <c r="W265" s="70"/>
      <c r="X265" s="79" t="n">
        <v>0.612</v>
      </c>
    </row>
    <row r="266" customFormat="false" ht="15" hidden="false" customHeight="false" outlineLevel="0" collapsed="false">
      <c r="A266" s="58" t="s">
        <v>215</v>
      </c>
      <c r="B266" s="62"/>
      <c r="C266" s="62"/>
      <c r="D266" s="62"/>
      <c r="E266" s="69"/>
      <c r="F266" s="80" t="n">
        <v>0</v>
      </c>
      <c r="G266" s="69"/>
      <c r="H266" s="70"/>
      <c r="I266" s="81" t="n">
        <v>4.52</v>
      </c>
      <c r="J266" s="70"/>
      <c r="K266" s="79" t="n">
        <v>0.904</v>
      </c>
      <c r="N266" s="58" t="s">
        <v>215</v>
      </c>
      <c r="O266" s="62"/>
      <c r="P266" s="62"/>
      <c r="Q266" s="62"/>
      <c r="R266" s="69"/>
      <c r="S266" s="80" t="n">
        <v>0</v>
      </c>
      <c r="T266" s="80" t="n">
        <v>4.52</v>
      </c>
      <c r="U266" s="70"/>
      <c r="V266" s="70"/>
      <c r="W266" s="70"/>
      <c r="X266" s="79" t="n">
        <v>0.904</v>
      </c>
    </row>
    <row r="267" customFormat="false" ht="15" hidden="false" customHeight="false" outlineLevel="0" collapsed="false">
      <c r="A267" s="58" t="s">
        <v>223</v>
      </c>
      <c r="B267" s="62"/>
      <c r="C267" s="62"/>
      <c r="D267" s="62"/>
      <c r="E267" s="69"/>
      <c r="F267" s="69"/>
      <c r="G267" s="69"/>
      <c r="H267" s="70"/>
      <c r="I267" s="70"/>
      <c r="J267" s="70"/>
      <c r="K267" s="79"/>
      <c r="N267" s="58" t="s">
        <v>243</v>
      </c>
      <c r="O267" s="62"/>
      <c r="P267" s="62"/>
      <c r="Q267" s="62"/>
      <c r="R267" s="69"/>
      <c r="S267" s="80" t="n">
        <v>4.7</v>
      </c>
      <c r="T267" s="80" t="n">
        <v>8.015</v>
      </c>
      <c r="U267" s="70"/>
      <c r="V267" s="70"/>
      <c r="W267" s="81" t="n">
        <v>11.26</v>
      </c>
      <c r="X267" s="79" t="n">
        <v>4.795</v>
      </c>
    </row>
    <row r="268" customFormat="false" ht="15" hidden="false" customHeight="false" outlineLevel="0" collapsed="false">
      <c r="A268" s="58" t="s">
        <v>233</v>
      </c>
      <c r="B268" s="69"/>
      <c r="C268" s="69"/>
      <c r="D268" s="69"/>
      <c r="E268" s="70"/>
      <c r="F268" s="70"/>
      <c r="G268" s="70"/>
      <c r="H268" s="62"/>
      <c r="I268" s="62"/>
      <c r="J268" s="62"/>
      <c r="K268" s="79"/>
      <c r="N268" s="58" t="s">
        <v>195</v>
      </c>
      <c r="O268" s="69"/>
      <c r="P268" s="69"/>
      <c r="Q268" s="69"/>
      <c r="R268" s="70"/>
      <c r="S268" s="70"/>
      <c r="T268" s="70"/>
      <c r="U268" s="62"/>
      <c r="V268" s="62"/>
      <c r="W268" s="62"/>
      <c r="X268" s="79"/>
    </row>
    <row r="269" customFormat="false" ht="15" hidden="false" customHeight="false" outlineLevel="0" collapsed="false">
      <c r="A269" s="58" t="s">
        <v>243</v>
      </c>
      <c r="B269" s="69"/>
      <c r="C269" s="69"/>
      <c r="D269" s="69"/>
      <c r="E269" s="70"/>
      <c r="F269" s="81" t="n">
        <v>4.7</v>
      </c>
      <c r="G269" s="70"/>
      <c r="H269" s="62"/>
      <c r="I269" s="36" t="n">
        <v>8.015</v>
      </c>
      <c r="J269" s="36" t="n">
        <v>11.26</v>
      </c>
      <c r="K269" s="79" t="n">
        <v>4.795</v>
      </c>
      <c r="N269" s="58" t="s">
        <v>223</v>
      </c>
      <c r="O269" s="69"/>
      <c r="P269" s="69"/>
      <c r="Q269" s="69"/>
      <c r="R269" s="70"/>
      <c r="S269" s="70"/>
      <c r="T269" s="70"/>
      <c r="U269" s="62"/>
      <c r="V269" s="62"/>
      <c r="W269" s="62"/>
      <c r="X269" s="79"/>
    </row>
    <row r="270" customFormat="false" ht="15" hidden="false" customHeight="false" outlineLevel="0" collapsed="false">
      <c r="A270" s="58" t="s">
        <v>250</v>
      </c>
      <c r="B270" s="69"/>
      <c r="C270" s="69"/>
      <c r="D270" s="69"/>
      <c r="E270" s="70"/>
      <c r="F270" s="70"/>
      <c r="G270" s="70"/>
      <c r="H270" s="62"/>
      <c r="I270" s="36" t="n">
        <v>11.69</v>
      </c>
      <c r="J270" s="36" t="n">
        <v>12.8175</v>
      </c>
      <c r="K270" s="79" t="n">
        <v>4.9015</v>
      </c>
      <c r="N270" s="58" t="s">
        <v>250</v>
      </c>
      <c r="O270" s="69"/>
      <c r="P270" s="69"/>
      <c r="Q270" s="69"/>
      <c r="R270" s="70"/>
      <c r="S270" s="70"/>
      <c r="T270" s="81" t="n">
        <v>11.69</v>
      </c>
      <c r="U270" s="62"/>
      <c r="V270" s="62"/>
      <c r="W270" s="36" t="n">
        <v>12.8175</v>
      </c>
      <c r="X270" s="79" t="n">
        <v>4.9015</v>
      </c>
    </row>
    <row r="271" customFormat="false" ht="17.35" hidden="false" customHeight="false" outlineLevel="0" collapsed="false">
      <c r="A271" s="13" t="s">
        <v>356</v>
      </c>
      <c r="B271" s="13"/>
      <c r="C271" s="13"/>
      <c r="D271" s="13"/>
      <c r="E271" s="13"/>
      <c r="F271" s="79" t="n">
        <v>0.94</v>
      </c>
      <c r="G271" s="79"/>
      <c r="H271" s="79"/>
      <c r="I271" s="79" t="n">
        <v>4.845</v>
      </c>
      <c r="J271" s="79" t="n">
        <v>4.8155</v>
      </c>
      <c r="K271" s="74" t="n">
        <v>13.7458333333333</v>
      </c>
      <c r="N271" s="13" t="s">
        <v>357</v>
      </c>
      <c r="O271" s="13"/>
      <c r="P271" s="13"/>
      <c r="Q271" s="13"/>
      <c r="R271" s="13"/>
      <c r="S271" s="79" t="n">
        <v>0.94</v>
      </c>
      <c r="T271" s="79" t="n">
        <v>4.845</v>
      </c>
      <c r="U271" s="79"/>
      <c r="V271" s="79"/>
      <c r="W271" s="79" t="n">
        <v>4.8155</v>
      </c>
      <c r="X271" s="74" t="n">
        <v>13.7458333333333</v>
      </c>
    </row>
    <row r="273" customFormat="false" ht="15" hidden="false" customHeight="false" outlineLevel="0" collapsed="false">
      <c r="A273" s="58" t="s">
        <v>271</v>
      </c>
      <c r="B273" s="58" t="s">
        <v>169</v>
      </c>
      <c r="C273" s="58" t="s">
        <v>172</v>
      </c>
      <c r="D273" s="58" t="s">
        <v>175</v>
      </c>
      <c r="E273" s="58" t="s">
        <v>270</v>
      </c>
      <c r="G273" s="58" t="s">
        <v>262</v>
      </c>
      <c r="H273" s="58" t="s">
        <v>169</v>
      </c>
      <c r="I273" s="58" t="s">
        <v>172</v>
      </c>
      <c r="J273" s="58" t="s">
        <v>175</v>
      </c>
      <c r="K273" s="58" t="s">
        <v>270</v>
      </c>
      <c r="N273" s="58" t="s">
        <v>271</v>
      </c>
      <c r="O273" s="58" t="s">
        <v>169</v>
      </c>
      <c r="P273" s="58" t="s">
        <v>172</v>
      </c>
      <c r="Q273" s="58" t="s">
        <v>175</v>
      </c>
      <c r="R273" s="58" t="s">
        <v>270</v>
      </c>
      <c r="T273" s="58" t="s">
        <v>262</v>
      </c>
      <c r="U273" s="58" t="s">
        <v>169</v>
      </c>
      <c r="V273" s="58" t="s">
        <v>172</v>
      </c>
      <c r="W273" s="58" t="s">
        <v>175</v>
      </c>
      <c r="X273" s="58" t="s">
        <v>270</v>
      </c>
    </row>
    <row r="274" customFormat="false" ht="15" hidden="false" customHeight="false" outlineLevel="0" collapsed="false">
      <c r="A274" s="58" t="s">
        <v>186</v>
      </c>
      <c r="B274" s="78" t="n">
        <v>15.7266666666667</v>
      </c>
      <c r="C274" s="62"/>
      <c r="D274" s="62"/>
      <c r="E274" s="74" t="n">
        <v>15.7266666666667</v>
      </c>
      <c r="G274" s="58" t="s">
        <v>186</v>
      </c>
      <c r="H274" s="78" t="n">
        <v>22.8820854804486</v>
      </c>
      <c r="I274" s="36" t="n">
        <v>0</v>
      </c>
      <c r="J274" s="36" t="n">
        <v>0</v>
      </c>
      <c r="K274" s="74" t="n">
        <v>22.8820854804486</v>
      </c>
      <c r="N274" s="58" t="s">
        <v>186</v>
      </c>
      <c r="O274" s="78" t="n">
        <v>12.6666666666667</v>
      </c>
      <c r="P274" s="62"/>
      <c r="Q274" s="62"/>
      <c r="R274" s="74" t="n">
        <v>12.6666666666667</v>
      </c>
      <c r="T274" s="58" t="s">
        <v>177</v>
      </c>
      <c r="U274" s="78" t="n">
        <v>18.4298272203698</v>
      </c>
      <c r="V274" s="36" t="n">
        <v>0</v>
      </c>
      <c r="W274" s="36" t="n">
        <v>0</v>
      </c>
      <c r="X274" s="74" t="n">
        <v>18.4298272203698</v>
      </c>
    </row>
    <row r="275" customFormat="false" ht="15" hidden="false" customHeight="false" outlineLevel="0" collapsed="false">
      <c r="A275" s="58" t="s">
        <v>215</v>
      </c>
      <c r="B275" s="62"/>
      <c r="C275" s="69"/>
      <c r="D275" s="81" t="n">
        <v>4.52</v>
      </c>
      <c r="E275" s="74" t="n">
        <v>4.52</v>
      </c>
      <c r="G275" s="58" t="s">
        <v>215</v>
      </c>
      <c r="H275" s="36" t="n">
        <v>0</v>
      </c>
      <c r="I275" s="80" t="n">
        <v>0</v>
      </c>
      <c r="J275" s="81" t="n">
        <v>6.57653834495302</v>
      </c>
      <c r="K275" s="74" t="n">
        <v>6.57653834495302</v>
      </c>
      <c r="N275" s="58" t="s">
        <v>215</v>
      </c>
      <c r="O275" s="62"/>
      <c r="P275" s="80" t="n">
        <v>20.295</v>
      </c>
      <c r="Q275" s="81" t="n">
        <v>11.26</v>
      </c>
      <c r="R275" s="74" t="n">
        <v>31.555</v>
      </c>
      <c r="T275" s="58" t="s">
        <v>215</v>
      </c>
      <c r="U275" s="36" t="n">
        <v>0</v>
      </c>
      <c r="V275" s="80" t="n">
        <v>29.528948166111</v>
      </c>
      <c r="W275" s="81" t="n">
        <v>16.3831464080024</v>
      </c>
      <c r="X275" s="74" t="n">
        <v>45.9120945741134</v>
      </c>
    </row>
    <row r="276" customFormat="false" ht="15" hidden="false" customHeight="false" outlineLevel="0" collapsed="false">
      <c r="A276" s="58" t="s">
        <v>243</v>
      </c>
      <c r="B276" s="69"/>
      <c r="C276" s="81" t="n">
        <v>4.7</v>
      </c>
      <c r="D276" s="36" t="n">
        <v>43.7825</v>
      </c>
      <c r="E276" s="74" t="n">
        <v>48.4825</v>
      </c>
      <c r="G276" s="58" t="s">
        <v>243</v>
      </c>
      <c r="H276" s="80" t="n">
        <v>0</v>
      </c>
      <c r="I276" s="81" t="n">
        <v>6.83843588966354</v>
      </c>
      <c r="J276" s="36" t="n">
        <v>63.7029402849348</v>
      </c>
      <c r="K276" s="74" t="n">
        <v>70.5413761745984</v>
      </c>
      <c r="N276" s="58" t="s">
        <v>243</v>
      </c>
      <c r="O276" s="69"/>
      <c r="P276" s="81" t="n">
        <v>11.69</v>
      </c>
      <c r="Q276" s="36" t="n">
        <v>12.8175</v>
      </c>
      <c r="R276" s="74" t="n">
        <v>24.5075</v>
      </c>
      <c r="T276" s="58" t="s">
        <v>243</v>
      </c>
      <c r="U276" s="80" t="n">
        <v>0</v>
      </c>
      <c r="V276" s="81" t="n">
        <v>17.0087905425887</v>
      </c>
      <c r="W276" s="36" t="n">
        <v>18.6492876629282</v>
      </c>
      <c r="X276" s="74" t="n">
        <v>35.6580782055168</v>
      </c>
    </row>
    <row r="277" customFormat="false" ht="15" hidden="false" customHeight="false" outlineLevel="0" collapsed="false">
      <c r="A277" s="58" t="s">
        <v>270</v>
      </c>
      <c r="B277" s="74" t="n">
        <v>15.7266666666667</v>
      </c>
      <c r="C277" s="74" t="n">
        <v>4.7</v>
      </c>
      <c r="D277" s="74" t="n">
        <v>48.3025</v>
      </c>
      <c r="E277" s="74" t="n">
        <v>68.7291666666667</v>
      </c>
      <c r="G277" s="58" t="s">
        <v>270</v>
      </c>
      <c r="H277" s="74" t="n">
        <v>22.8820854804486</v>
      </c>
      <c r="I277" s="74" t="n">
        <v>6.83843588966354</v>
      </c>
      <c r="J277" s="74" t="n">
        <v>70.2794786298879</v>
      </c>
      <c r="K277" s="74" t="n">
        <v>100</v>
      </c>
      <c r="N277" s="58" t="s">
        <v>270</v>
      </c>
      <c r="O277" s="74" t="n">
        <v>12.6666666666667</v>
      </c>
      <c r="P277" s="74" t="n">
        <v>31.985</v>
      </c>
      <c r="Q277" s="74" t="n">
        <v>24.0775</v>
      </c>
      <c r="R277" s="74" t="n">
        <v>68.7291666666667</v>
      </c>
      <c r="T277" s="58" t="s">
        <v>270</v>
      </c>
      <c r="U277" s="74" t="n">
        <v>18.4298272203698</v>
      </c>
      <c r="V277" s="74" t="n">
        <v>46.5377387086996</v>
      </c>
      <c r="W277" s="74" t="n">
        <v>35.0324340709306</v>
      </c>
      <c r="X277" s="74" t="n">
        <v>100</v>
      </c>
    </row>
    <row r="283" customFormat="false" ht="15" hidden="false" customHeight="false" outlineLevel="0" collapsed="false">
      <c r="A283" s="82" t="s">
        <v>358</v>
      </c>
      <c r="B283" s="82"/>
      <c r="C283" s="82"/>
      <c r="D283" s="82"/>
      <c r="E283" s="82"/>
      <c r="F283" s="82"/>
      <c r="G283" s="82"/>
      <c r="H283" s="82"/>
      <c r="I283" s="82"/>
      <c r="J283" s="82"/>
      <c r="L283" s="82" t="s">
        <v>359</v>
      </c>
      <c r="M283" s="82"/>
      <c r="N283" s="82"/>
      <c r="O283" s="82"/>
      <c r="P283" s="82"/>
      <c r="Q283" s="82"/>
      <c r="R283" s="82"/>
    </row>
    <row r="285" customFormat="false" ht="15" hidden="false" customHeight="false" outlineLevel="0" collapsed="false">
      <c r="A285" s="83"/>
      <c r="B285" s="83" t="s">
        <v>101</v>
      </c>
      <c r="C285" s="83" t="s">
        <v>190</v>
      </c>
      <c r="D285" s="83" t="s">
        <v>193</v>
      </c>
      <c r="E285" s="84" t="s">
        <v>217</v>
      </c>
      <c r="F285" s="84" t="s">
        <v>102</v>
      </c>
      <c r="G285" s="84" t="s">
        <v>107</v>
      </c>
      <c r="H285" s="84" t="s">
        <v>245</v>
      </c>
      <c r="I285" s="84" t="s">
        <v>103</v>
      </c>
      <c r="J285" s="84" t="s">
        <v>106</v>
      </c>
      <c r="L285" s="83"/>
      <c r="M285" s="83" t="s">
        <v>186</v>
      </c>
      <c r="N285" s="83" t="s">
        <v>215</v>
      </c>
      <c r="O285" s="83" t="s">
        <v>243</v>
      </c>
      <c r="P285" s="84" t="s">
        <v>169</v>
      </c>
      <c r="Q285" s="84" t="s">
        <v>172</v>
      </c>
      <c r="R285" s="84" t="s">
        <v>175</v>
      </c>
    </row>
    <row r="286" customFormat="false" ht="15" hidden="false" customHeight="false" outlineLevel="0" collapsed="false">
      <c r="A286" s="84" t="s">
        <v>360</v>
      </c>
      <c r="B286" s="36" t="n">
        <v>0.992</v>
      </c>
      <c r="C286" s="36"/>
      <c r="D286" s="36"/>
      <c r="E286" s="36"/>
      <c r="F286" s="36"/>
      <c r="G286" s="36" t="n">
        <v>-0.126</v>
      </c>
      <c r="H286" s="36"/>
      <c r="I286" s="36" t="n">
        <v>-0.142</v>
      </c>
      <c r="J286" s="36" t="n">
        <v>-1.976</v>
      </c>
      <c r="L286" s="84" t="s">
        <v>360</v>
      </c>
      <c r="M286" s="36" t="n">
        <v>0.992</v>
      </c>
      <c r="N286" s="36" t="n">
        <v>-0.126</v>
      </c>
      <c r="O286" s="36" t="n">
        <v>-2.118</v>
      </c>
      <c r="P286" s="36" t="n">
        <v>0.992</v>
      </c>
      <c r="Q286" s="36" t="n">
        <v>-0.142</v>
      </c>
      <c r="R286" s="36" t="n">
        <v>-2.102</v>
      </c>
    </row>
    <row r="287" customFormat="false" ht="15" hidden="false" customHeight="false" outlineLevel="0" collapsed="false">
      <c r="A287" s="84" t="s">
        <v>361</v>
      </c>
      <c r="B287" s="36" t="n">
        <v>0.472666666666667</v>
      </c>
      <c r="C287" s="36"/>
      <c r="D287" s="36"/>
      <c r="E287" s="36"/>
      <c r="F287" s="36"/>
      <c r="G287" s="36" t="n">
        <v>-0.126</v>
      </c>
      <c r="H287" s="36"/>
      <c r="I287" s="36" t="n">
        <v>-0.514</v>
      </c>
      <c r="J287" s="36" t="n">
        <v>-2.396</v>
      </c>
      <c r="L287" s="84" t="s">
        <v>361</v>
      </c>
      <c r="M287" s="36" t="n">
        <v>0.472666666666667</v>
      </c>
      <c r="N287" s="36" t="n">
        <v>-0.126</v>
      </c>
      <c r="O287" s="36" t="n">
        <v>-2.91</v>
      </c>
      <c r="P287" s="36" t="n">
        <v>0.472666666666667</v>
      </c>
      <c r="Q287" s="36" t="n">
        <v>-0.514</v>
      </c>
      <c r="R287" s="36" t="n">
        <v>-2.522</v>
      </c>
    </row>
    <row r="288" customFormat="false" ht="15" hidden="false" customHeight="false" outlineLevel="0" collapsed="false">
      <c r="A288" s="84" t="s">
        <v>362</v>
      </c>
      <c r="B288" s="36" t="n">
        <v>0.472666666666667</v>
      </c>
      <c r="C288" s="36"/>
      <c r="D288" s="36"/>
      <c r="E288" s="36"/>
      <c r="F288" s="36"/>
      <c r="G288" s="36" t="n">
        <v>-0.525</v>
      </c>
      <c r="H288" s="36"/>
      <c r="I288" s="36" t="n">
        <v>-0.142</v>
      </c>
      <c r="J288" s="36" t="n">
        <v>-2.3855</v>
      </c>
      <c r="L288" s="84" t="s">
        <v>362</v>
      </c>
      <c r="M288" s="36" t="n">
        <v>0.472666666666667</v>
      </c>
      <c r="N288" s="36" t="n">
        <v>-0.525</v>
      </c>
      <c r="O288" s="36" t="n">
        <v>-2.5275</v>
      </c>
      <c r="P288" s="36" t="n">
        <v>0.472666666666667</v>
      </c>
      <c r="Q288" s="36" t="n">
        <v>-0.142</v>
      </c>
      <c r="R288" s="36" t="n">
        <v>-2.9105</v>
      </c>
    </row>
    <row r="289" customFormat="false" ht="15" hidden="false" customHeight="false" outlineLevel="0" collapsed="false">
      <c r="A289" s="84" t="s">
        <v>363</v>
      </c>
      <c r="B289" s="36" t="n">
        <v>0.992</v>
      </c>
      <c r="C289" s="36"/>
      <c r="D289" s="36"/>
      <c r="E289" s="36"/>
      <c r="F289" s="36"/>
      <c r="G289" s="36" t="n">
        <v>-0.126</v>
      </c>
      <c r="H289" s="36"/>
      <c r="I289" s="36" t="n">
        <v>-0.142</v>
      </c>
      <c r="J289" s="36" t="n">
        <v>-2.0025</v>
      </c>
      <c r="L289" s="84" t="s">
        <v>363</v>
      </c>
      <c r="M289" s="36" t="n">
        <v>0.992</v>
      </c>
      <c r="N289" s="36" t="n">
        <v>-0.126</v>
      </c>
      <c r="O289" s="36" t="n">
        <v>-2.1445</v>
      </c>
      <c r="P289" s="36" t="n">
        <v>0.992</v>
      </c>
      <c r="Q289" s="36" t="n">
        <v>-0.142</v>
      </c>
      <c r="R289" s="36" t="n">
        <v>-2.1285</v>
      </c>
    </row>
    <row r="290" customFormat="false" ht="15" hidden="false" customHeight="false" outlineLevel="0" collapsed="false">
      <c r="A290" s="84" t="s">
        <v>364</v>
      </c>
      <c r="B290" s="36" t="n">
        <v>1.46666666666667</v>
      </c>
      <c r="C290" s="36"/>
      <c r="D290" s="36"/>
      <c r="E290" s="36"/>
      <c r="F290" s="36"/>
      <c r="G290" s="36" t="n">
        <v>-0.252</v>
      </c>
      <c r="H290" s="36"/>
      <c r="I290" s="36" t="n">
        <v>-0.656</v>
      </c>
      <c r="J290" s="36" t="n">
        <v>-4.372</v>
      </c>
      <c r="L290" s="84" t="s">
        <v>364</v>
      </c>
      <c r="M290" s="36" t="n">
        <v>1.46666666666667</v>
      </c>
      <c r="N290" s="36" t="n">
        <v>-0.252</v>
      </c>
      <c r="O290" s="36" t="n">
        <v>-5.028</v>
      </c>
      <c r="P290" s="36" t="n">
        <v>1.46666666666667</v>
      </c>
      <c r="Q290" s="36" t="n">
        <v>-0.656</v>
      </c>
      <c r="R290" s="36" t="n">
        <v>-4.624</v>
      </c>
    </row>
    <row r="291" customFormat="false" ht="15" hidden="false" customHeight="false" outlineLevel="0" collapsed="false">
      <c r="A291" s="84" t="s">
        <v>365</v>
      </c>
      <c r="B291" s="36" t="n">
        <v>1.46666666666667</v>
      </c>
      <c r="C291" s="36"/>
      <c r="D291" s="36"/>
      <c r="E291" s="36"/>
      <c r="F291" s="36"/>
      <c r="G291" s="36" t="n">
        <v>-0.651</v>
      </c>
      <c r="H291" s="36"/>
      <c r="I291" s="36" t="n">
        <v>-0.284</v>
      </c>
      <c r="J291" s="36" t="n">
        <v>-4.386</v>
      </c>
      <c r="L291" s="84" t="s">
        <v>365</v>
      </c>
      <c r="M291" s="36" t="n">
        <v>1.46666666666667</v>
      </c>
      <c r="N291" s="36" t="n">
        <v>-0.651</v>
      </c>
      <c r="O291" s="36" t="n">
        <v>-4.67</v>
      </c>
      <c r="P291" s="36" t="n">
        <v>1.46666666666667</v>
      </c>
      <c r="Q291" s="36" t="n">
        <v>-0.284</v>
      </c>
      <c r="R291" s="36" t="n">
        <v>-5.037</v>
      </c>
    </row>
    <row r="292" customFormat="false" ht="15" hidden="false" customHeight="false" outlineLevel="0" collapsed="false">
      <c r="A292" s="84" t="s">
        <v>366</v>
      </c>
      <c r="B292" s="36" t="n">
        <v>2.93333333333333</v>
      </c>
      <c r="C292" s="36"/>
      <c r="D292" s="36"/>
      <c r="E292" s="36"/>
      <c r="F292" s="36"/>
      <c r="G292" s="36" t="n">
        <v>-0.903</v>
      </c>
      <c r="H292" s="36"/>
      <c r="I292" s="36" t="n">
        <v>-0.94</v>
      </c>
      <c r="J292" s="36" t="n">
        <v>-8.758</v>
      </c>
      <c r="L292" s="84" t="s">
        <v>366</v>
      </c>
      <c r="M292" s="36" t="n">
        <v>2.93333333333333</v>
      </c>
      <c r="N292" s="36" t="n">
        <v>-0.903</v>
      </c>
      <c r="O292" s="36" t="n">
        <v>-9.698</v>
      </c>
      <c r="P292" s="36" t="n">
        <v>2.93333333333333</v>
      </c>
      <c r="Q292" s="36" t="n">
        <v>-0.94</v>
      </c>
      <c r="R292" s="36" t="n">
        <v>-9.661</v>
      </c>
    </row>
    <row r="293" customFormat="false" ht="15" hidden="false" customHeight="false" outlineLevel="0" collapsed="false">
      <c r="A293" s="84" t="s">
        <v>367</v>
      </c>
      <c r="B293" s="36" t="n">
        <v>1.57266666666667</v>
      </c>
      <c r="C293" s="36"/>
      <c r="D293" s="36"/>
      <c r="E293" s="36"/>
      <c r="F293" s="36"/>
      <c r="G293" s="36" t="n">
        <v>0.252</v>
      </c>
      <c r="H293" s="36"/>
      <c r="I293" s="36" t="n">
        <v>0.656</v>
      </c>
      <c r="J293" s="36" t="n">
        <v>4.372</v>
      </c>
      <c r="L293" s="84" t="s">
        <v>367</v>
      </c>
      <c r="M293" s="36" t="n">
        <v>1.57266666666667</v>
      </c>
      <c r="N293" s="36" t="n">
        <v>0.252</v>
      </c>
      <c r="O293" s="36" t="n">
        <v>5.028</v>
      </c>
      <c r="P293" s="36" t="n">
        <v>1.57266666666667</v>
      </c>
      <c r="Q293" s="36" t="n">
        <v>0.656</v>
      </c>
      <c r="R293" s="36" t="n">
        <v>4.624</v>
      </c>
    </row>
    <row r="294" customFormat="false" ht="15" hidden="false" customHeight="false" outlineLevel="0" collapsed="false">
      <c r="A294" s="84" t="s">
        <v>368</v>
      </c>
      <c r="B294" s="36" t="n">
        <v>1.57266666666667</v>
      </c>
      <c r="C294" s="36"/>
      <c r="D294" s="36"/>
      <c r="E294" s="36"/>
      <c r="F294" s="36"/>
      <c r="G294" s="36" t="n">
        <v>0.651</v>
      </c>
      <c r="H294" s="36"/>
      <c r="I294" s="36" t="n">
        <v>0.284</v>
      </c>
      <c r="J294" s="36" t="n">
        <v>4.386</v>
      </c>
      <c r="L294" s="84" t="s">
        <v>368</v>
      </c>
      <c r="M294" s="36" t="n">
        <v>1.57266666666667</v>
      </c>
      <c r="N294" s="36" t="n">
        <v>0.651</v>
      </c>
      <c r="O294" s="36" t="n">
        <v>4.67</v>
      </c>
      <c r="P294" s="36" t="n">
        <v>1.57266666666667</v>
      </c>
      <c r="Q294" s="36" t="n">
        <v>0.284</v>
      </c>
      <c r="R294" s="36" t="n">
        <v>5.037</v>
      </c>
    </row>
    <row r="295" customFormat="false" ht="15" hidden="false" customHeight="false" outlineLevel="0" collapsed="false">
      <c r="A295" s="84" t="s">
        <v>369</v>
      </c>
      <c r="B295" s="36" t="n">
        <v>3.14533333333333</v>
      </c>
      <c r="C295" s="36"/>
      <c r="D295" s="36"/>
      <c r="E295" s="36"/>
      <c r="F295" s="36"/>
      <c r="G295" s="36" t="n">
        <v>0.904</v>
      </c>
      <c r="H295" s="36"/>
      <c r="I295" s="36" t="n">
        <v>0.94</v>
      </c>
      <c r="J295" s="36" t="n">
        <v>8.7565</v>
      </c>
      <c r="L295" s="84" t="s">
        <v>369</v>
      </c>
      <c r="M295" s="36" t="n">
        <v>3.14533333333333</v>
      </c>
      <c r="N295" s="36" t="n">
        <v>0.904</v>
      </c>
      <c r="O295" s="36" t="n">
        <v>9.6965</v>
      </c>
      <c r="P295" s="36" t="n">
        <v>3.14533333333333</v>
      </c>
      <c r="Q295" s="36" t="n">
        <v>0.94</v>
      </c>
      <c r="R295" s="36" t="n">
        <v>9.6605</v>
      </c>
    </row>
    <row r="298" customFormat="false" ht="15" hidden="false" customHeight="false" outlineLevel="0" collapsed="false">
      <c r="A298" s="82" t="s">
        <v>370</v>
      </c>
      <c r="B298" s="82"/>
      <c r="C298" s="82"/>
      <c r="D298" s="82"/>
      <c r="E298" s="82"/>
      <c r="F298" s="82"/>
      <c r="G298" s="82"/>
      <c r="H298" s="82"/>
      <c r="I298" s="82"/>
      <c r="J298" s="82"/>
      <c r="L298" s="82" t="s">
        <v>371</v>
      </c>
      <c r="M298" s="82"/>
      <c r="N298" s="82"/>
      <c r="O298" s="82"/>
      <c r="P298" s="82"/>
      <c r="Q298" s="82"/>
      <c r="R298" s="82"/>
    </row>
    <row r="300" customFormat="false" ht="15" hidden="false" customHeight="false" outlineLevel="0" collapsed="false">
      <c r="A300" s="83"/>
      <c r="B300" s="83" t="s">
        <v>101</v>
      </c>
      <c r="C300" s="83" t="s">
        <v>190</v>
      </c>
      <c r="D300" s="83" t="s">
        <v>193</v>
      </c>
      <c r="E300" s="84" t="s">
        <v>217</v>
      </c>
      <c r="F300" s="84" t="s">
        <v>102</v>
      </c>
      <c r="G300" s="84" t="s">
        <v>107</v>
      </c>
      <c r="H300" s="84" t="s">
        <v>245</v>
      </c>
      <c r="I300" s="84" t="s">
        <v>103</v>
      </c>
      <c r="J300" s="84" t="s">
        <v>106</v>
      </c>
      <c r="L300" s="83"/>
      <c r="M300" s="83" t="s">
        <v>186</v>
      </c>
      <c r="N300" s="83" t="s">
        <v>215</v>
      </c>
      <c r="O300" s="83" t="s">
        <v>243</v>
      </c>
      <c r="P300" s="84" t="s">
        <v>169</v>
      </c>
      <c r="Q300" s="84" t="s">
        <v>172</v>
      </c>
      <c r="R300" s="84" t="s">
        <v>175</v>
      </c>
    </row>
    <row r="301" customFormat="false" ht="15" hidden="false" customHeight="false" outlineLevel="0" collapsed="false">
      <c r="A301" s="84" t="s">
        <v>360</v>
      </c>
      <c r="B301" s="36" t="n">
        <v>30.655129789864</v>
      </c>
      <c r="C301" s="36"/>
      <c r="D301" s="36"/>
      <c r="E301" s="36"/>
      <c r="F301" s="36"/>
      <c r="G301" s="36" t="n">
        <v>-3.89369592088999</v>
      </c>
      <c r="H301" s="36"/>
      <c r="I301" s="36" t="n">
        <v>-4.38813349814586</v>
      </c>
      <c r="J301" s="36" t="n">
        <v>-61.0630407911001</v>
      </c>
      <c r="L301" s="84" t="s">
        <v>360</v>
      </c>
      <c r="M301" s="36" t="n">
        <v>30.655129789864</v>
      </c>
      <c r="N301" s="36" t="n">
        <v>-3.89369592088999</v>
      </c>
      <c r="O301" s="36" t="n">
        <v>-65.451174289246</v>
      </c>
      <c r="P301" s="36" t="n">
        <v>30.655129789864</v>
      </c>
      <c r="Q301" s="36" t="n">
        <v>-4.38813349814586</v>
      </c>
      <c r="R301" s="36" t="n">
        <v>-64.9567367119901</v>
      </c>
    </row>
    <row r="302" customFormat="false" ht="15" hidden="false" customHeight="false" outlineLevel="0" collapsed="false">
      <c r="A302" s="84" t="s">
        <v>361</v>
      </c>
      <c r="B302" s="36" t="n">
        <v>13.0691244239631</v>
      </c>
      <c r="C302" s="36"/>
      <c r="D302" s="36"/>
      <c r="E302" s="36"/>
      <c r="F302" s="36"/>
      <c r="G302" s="36" t="n">
        <v>-3.48387096774194</v>
      </c>
      <c r="H302" s="36"/>
      <c r="I302" s="36" t="n">
        <v>-14.2119815668203</v>
      </c>
      <c r="J302" s="36" t="n">
        <v>-66.2488479262673</v>
      </c>
      <c r="L302" s="84" t="s">
        <v>361</v>
      </c>
      <c r="M302" s="36" t="n">
        <v>13.0691244239631</v>
      </c>
      <c r="N302" s="36" t="n">
        <v>-3.48387096774194</v>
      </c>
      <c r="O302" s="36" t="n">
        <v>-80.4608294930876</v>
      </c>
      <c r="P302" s="36" t="n">
        <v>13.0691244239631</v>
      </c>
      <c r="Q302" s="36" t="n">
        <v>-14.2119815668203</v>
      </c>
      <c r="R302" s="36" t="n">
        <v>-69.7327188940092</v>
      </c>
    </row>
    <row r="303" customFormat="false" ht="15" hidden="false" customHeight="false" outlineLevel="0" collapsed="false">
      <c r="A303" s="84" t="s">
        <v>362</v>
      </c>
      <c r="B303" s="36" t="n">
        <v>13.009771090417</v>
      </c>
      <c r="C303" s="36"/>
      <c r="D303" s="36"/>
      <c r="E303" s="36"/>
      <c r="F303" s="36"/>
      <c r="G303" s="36" t="n">
        <v>-14.4502041378045</v>
      </c>
      <c r="H303" s="36"/>
      <c r="I303" s="36" t="n">
        <v>-3.90843616679664</v>
      </c>
      <c r="J303" s="36" t="n">
        <v>-65.6589751823478</v>
      </c>
      <c r="L303" s="84" t="s">
        <v>362</v>
      </c>
      <c r="M303" s="36" t="n">
        <v>13.009771090417</v>
      </c>
      <c r="N303" s="36" t="n">
        <v>-14.4502041378045</v>
      </c>
      <c r="O303" s="36" t="n">
        <v>-69.5674113491445</v>
      </c>
      <c r="P303" s="36" t="n">
        <v>13.009771090417</v>
      </c>
      <c r="Q303" s="36" t="n">
        <v>-3.90843616679664</v>
      </c>
      <c r="R303" s="36" t="n">
        <v>-80.1091793201523</v>
      </c>
    </row>
    <row r="304" customFormat="false" ht="15" hidden="false" customHeight="false" outlineLevel="0" collapsed="false">
      <c r="A304" s="84" t="s">
        <v>363</v>
      </c>
      <c r="B304" s="36" t="n">
        <v>30.4061302681992</v>
      </c>
      <c r="C304" s="36"/>
      <c r="D304" s="36"/>
      <c r="E304" s="36"/>
      <c r="F304" s="36"/>
      <c r="G304" s="36" t="n">
        <v>-3.86206896551724</v>
      </c>
      <c r="H304" s="36"/>
      <c r="I304" s="36" t="n">
        <v>-4.35249042145594</v>
      </c>
      <c r="J304" s="36" t="n">
        <v>-61.3793103448276</v>
      </c>
      <c r="L304" s="84" t="s">
        <v>363</v>
      </c>
      <c r="M304" s="36" t="n">
        <v>30.4061302681992</v>
      </c>
      <c r="N304" s="36" t="n">
        <v>-3.86206896551724</v>
      </c>
      <c r="O304" s="36" t="n">
        <v>-65.7318007662835</v>
      </c>
      <c r="P304" s="36" t="n">
        <v>30.4061302681992</v>
      </c>
      <c r="Q304" s="36" t="n">
        <v>-4.35249042145594</v>
      </c>
      <c r="R304" s="36" t="n">
        <v>-65.2413793103448</v>
      </c>
    </row>
    <row r="305" customFormat="false" ht="15" hidden="false" customHeight="false" outlineLevel="0" collapsed="false">
      <c r="A305" s="84" t="s">
        <v>364</v>
      </c>
      <c r="B305" s="36" t="n">
        <v>21.7391304347826</v>
      </c>
      <c r="C305" s="36"/>
      <c r="D305" s="36"/>
      <c r="E305" s="36"/>
      <c r="F305" s="36"/>
      <c r="G305" s="36" t="n">
        <v>-3.73517786561265</v>
      </c>
      <c r="H305" s="36"/>
      <c r="I305" s="36" t="n">
        <v>-9.72332015810277</v>
      </c>
      <c r="J305" s="36" t="n">
        <v>-64.802371541502</v>
      </c>
      <c r="L305" s="84" t="s">
        <v>364</v>
      </c>
      <c r="M305" s="36" t="n">
        <v>21.7391304347826</v>
      </c>
      <c r="N305" s="36" t="n">
        <v>-3.73517786561265</v>
      </c>
      <c r="O305" s="36" t="n">
        <v>-74.5256916996048</v>
      </c>
      <c r="P305" s="36" t="n">
        <v>21.7391304347826</v>
      </c>
      <c r="Q305" s="36" t="n">
        <v>-9.72332015810277</v>
      </c>
      <c r="R305" s="36" t="n">
        <v>-68.5375494071146</v>
      </c>
    </row>
    <row r="306" customFormat="false" ht="15" hidden="false" customHeight="false" outlineLevel="0" collapsed="false">
      <c r="A306" s="84" t="s">
        <v>365</v>
      </c>
      <c r="B306" s="36" t="n">
        <v>21.6078181014585</v>
      </c>
      <c r="C306" s="36"/>
      <c r="D306" s="36"/>
      <c r="E306" s="36"/>
      <c r="F306" s="36"/>
      <c r="G306" s="36" t="n">
        <v>-9.59092471639739</v>
      </c>
      <c r="H306" s="36"/>
      <c r="I306" s="36" t="n">
        <v>-4.18405932328242</v>
      </c>
      <c r="J306" s="36" t="n">
        <v>-64.6171978588617</v>
      </c>
      <c r="L306" s="84" t="s">
        <v>365</v>
      </c>
      <c r="M306" s="36" t="n">
        <v>21.6078181014585</v>
      </c>
      <c r="N306" s="36" t="n">
        <v>-9.59092471639739</v>
      </c>
      <c r="O306" s="36" t="n">
        <v>-68.8012571821441</v>
      </c>
      <c r="P306" s="36" t="n">
        <v>21.6078181014585</v>
      </c>
      <c r="Q306" s="36" t="n">
        <v>-4.18405932328242</v>
      </c>
      <c r="R306" s="36" t="n">
        <v>-74.2081225752591</v>
      </c>
    </row>
    <row r="307" customFormat="false" ht="15" hidden="false" customHeight="false" outlineLevel="0" collapsed="false">
      <c r="A307" s="84" t="s">
        <v>366</v>
      </c>
      <c r="B307" s="36" t="n">
        <v>21.6732753737409</v>
      </c>
      <c r="C307" s="36"/>
      <c r="D307" s="36"/>
      <c r="E307" s="36"/>
      <c r="F307" s="36"/>
      <c r="G307" s="36" t="n">
        <v>-6.67192079403</v>
      </c>
      <c r="H307" s="36"/>
      <c r="I307" s="36" t="n">
        <v>-6.94529960840332</v>
      </c>
      <c r="J307" s="36" t="n">
        <v>-64.7095042238258</v>
      </c>
      <c r="L307" s="84" t="s">
        <v>366</v>
      </c>
      <c r="M307" s="36" t="n">
        <v>21.6732753737409</v>
      </c>
      <c r="N307" s="36" t="n">
        <v>-6.67192079403</v>
      </c>
      <c r="O307" s="36" t="n">
        <v>-71.6548038322292</v>
      </c>
      <c r="P307" s="36" t="n">
        <v>21.6732753737409</v>
      </c>
      <c r="Q307" s="36" t="n">
        <v>-6.94529960840332</v>
      </c>
      <c r="R307" s="36" t="n">
        <v>-71.3814250178558</v>
      </c>
    </row>
    <row r="308" customFormat="false" ht="15" hidden="false" customHeight="false" outlineLevel="0" collapsed="false">
      <c r="A308" s="84" t="s">
        <v>367</v>
      </c>
      <c r="B308" s="36" t="n">
        <v>22.949703278529</v>
      </c>
      <c r="C308" s="36"/>
      <c r="D308" s="36"/>
      <c r="E308" s="36"/>
      <c r="F308" s="36"/>
      <c r="G308" s="36" t="n">
        <v>3.67740052534293</v>
      </c>
      <c r="H308" s="36"/>
      <c r="I308" s="36" t="n">
        <v>9.57291565327367</v>
      </c>
      <c r="J308" s="36" t="n">
        <v>63.7999805428544</v>
      </c>
      <c r="L308" s="84" t="s">
        <v>367</v>
      </c>
      <c r="M308" s="36" t="n">
        <v>22.949703278529</v>
      </c>
      <c r="N308" s="36" t="n">
        <v>3.67740052534293</v>
      </c>
      <c r="O308" s="36" t="n">
        <v>73.372896196128</v>
      </c>
      <c r="P308" s="36" t="n">
        <v>22.949703278529</v>
      </c>
      <c r="Q308" s="36" t="n">
        <v>9.57291565327367</v>
      </c>
      <c r="R308" s="36" t="n">
        <v>67.4773810681973</v>
      </c>
    </row>
    <row r="309" customFormat="false" ht="15" hidden="false" customHeight="false" outlineLevel="0" collapsed="false">
      <c r="A309" s="84" t="s">
        <v>368</v>
      </c>
      <c r="B309" s="36" t="n">
        <v>22.8132101929307</v>
      </c>
      <c r="C309" s="36"/>
      <c r="D309" s="36"/>
      <c r="E309" s="36"/>
      <c r="F309" s="36"/>
      <c r="G309" s="36" t="n">
        <v>9.44345051013007</v>
      </c>
      <c r="H309" s="36"/>
      <c r="I309" s="36" t="n">
        <v>4.11972341762971</v>
      </c>
      <c r="J309" s="36" t="n">
        <v>63.6236158793095</v>
      </c>
      <c r="L309" s="84" t="s">
        <v>368</v>
      </c>
      <c r="M309" s="36" t="n">
        <v>22.8132101929307</v>
      </c>
      <c r="N309" s="36" t="n">
        <v>9.44345051013007</v>
      </c>
      <c r="O309" s="36" t="n">
        <v>67.7433392969392</v>
      </c>
      <c r="P309" s="36" t="n">
        <v>22.8132101929307</v>
      </c>
      <c r="Q309" s="36" t="n">
        <v>4.11972341762971</v>
      </c>
      <c r="R309" s="36" t="n">
        <v>73.0670663894396</v>
      </c>
    </row>
    <row r="310" customFormat="false" ht="15" hidden="false" customHeight="false" outlineLevel="0" collapsed="false">
      <c r="A310" s="84" t="s">
        <v>369</v>
      </c>
      <c r="B310" s="36" t="n">
        <v>22.8820854804486</v>
      </c>
      <c r="C310" s="36"/>
      <c r="D310" s="36"/>
      <c r="E310" s="36"/>
      <c r="F310" s="36"/>
      <c r="G310" s="36" t="n">
        <v>6.57653834495302</v>
      </c>
      <c r="H310" s="36"/>
      <c r="I310" s="36" t="n">
        <v>6.83843588966354</v>
      </c>
      <c r="J310" s="36" t="n">
        <v>63.7029402849348</v>
      </c>
      <c r="L310" s="84" t="s">
        <v>369</v>
      </c>
      <c r="M310" s="36" t="n">
        <v>22.8820854804486</v>
      </c>
      <c r="N310" s="36" t="n">
        <v>6.57653834495302</v>
      </c>
      <c r="O310" s="36" t="n">
        <v>70.5413761745984</v>
      </c>
      <c r="P310" s="36" t="n">
        <v>22.8820854804486</v>
      </c>
      <c r="Q310" s="36" t="n">
        <v>6.83843588966354</v>
      </c>
      <c r="R310" s="36" t="n">
        <v>70.2794786298879</v>
      </c>
    </row>
    <row r="313" customFormat="false" ht="15" hidden="false" customHeight="false" outlineLevel="0" collapsed="false">
      <c r="A313" s="82" t="s">
        <v>372</v>
      </c>
      <c r="B313" s="82"/>
      <c r="C313" s="82"/>
      <c r="D313" s="82"/>
      <c r="E313" s="82"/>
      <c r="F313" s="82"/>
      <c r="G313" s="82"/>
      <c r="H313" s="82"/>
      <c r="I313" s="82"/>
      <c r="J313" s="82"/>
      <c r="L313" s="82" t="s">
        <v>373</v>
      </c>
      <c r="M313" s="82"/>
      <c r="N313" s="82"/>
      <c r="O313" s="82"/>
      <c r="P313" s="82"/>
      <c r="Q313" s="82"/>
      <c r="R313" s="82"/>
    </row>
    <row r="315" customFormat="false" ht="15" hidden="false" customHeight="false" outlineLevel="0" collapsed="false">
      <c r="A315" s="83"/>
      <c r="B315" s="83" t="s">
        <v>209</v>
      </c>
      <c r="C315" s="83" t="s">
        <v>210</v>
      </c>
      <c r="D315" s="83" t="s">
        <v>211</v>
      </c>
      <c r="E315" s="84" t="s">
        <v>219</v>
      </c>
      <c r="F315" s="84" t="s">
        <v>102</v>
      </c>
      <c r="G315" s="84" t="s">
        <v>220</v>
      </c>
      <c r="H315" s="84" t="s">
        <v>227</v>
      </c>
      <c r="I315" s="84" t="s">
        <v>228</v>
      </c>
      <c r="J315" s="84" t="s">
        <v>229</v>
      </c>
      <c r="L315" s="83"/>
      <c r="M315" s="83" t="s">
        <v>205</v>
      </c>
      <c r="N315" s="83" t="s">
        <v>215</v>
      </c>
      <c r="O315" s="83" t="s">
        <v>223</v>
      </c>
      <c r="P315" s="84" t="s">
        <v>171</v>
      </c>
      <c r="Q315" s="84" t="s">
        <v>172</v>
      </c>
      <c r="R315" s="84" t="s">
        <v>173</v>
      </c>
    </row>
    <row r="316" customFormat="false" ht="15" hidden="false" customHeight="false" outlineLevel="0" collapsed="false">
      <c r="A316" s="84" t="s">
        <v>360</v>
      </c>
      <c r="B316" s="36" t="n">
        <v>0.74</v>
      </c>
      <c r="C316" s="36"/>
      <c r="D316" s="36"/>
      <c r="E316" s="36"/>
      <c r="F316" s="36" t="n">
        <v>-0.268</v>
      </c>
      <c r="G316" s="36" t="n">
        <v>-0.49</v>
      </c>
      <c r="H316" s="36"/>
      <c r="I316" s="36" t="n">
        <v>-0.594</v>
      </c>
      <c r="J316" s="36" t="n">
        <v>-0.64</v>
      </c>
      <c r="L316" s="84" t="s">
        <v>360</v>
      </c>
      <c r="M316" s="36" t="n">
        <v>3.7</v>
      </c>
      <c r="N316" s="36" t="n">
        <v>-3.79</v>
      </c>
      <c r="O316" s="36" t="n">
        <v>-6.17</v>
      </c>
      <c r="P316" s="36" t="n">
        <v>3.7</v>
      </c>
      <c r="Q316" s="36" t="n">
        <v>-4.31</v>
      </c>
      <c r="R316" s="36" t="n">
        <v>-5.65</v>
      </c>
    </row>
    <row r="317" customFormat="false" ht="15" hidden="false" customHeight="false" outlineLevel="0" collapsed="false">
      <c r="A317" s="84" t="s">
        <v>361</v>
      </c>
      <c r="B317" s="36" t="n">
        <v>0.526666666666667</v>
      </c>
      <c r="C317" s="36"/>
      <c r="D317" s="36"/>
      <c r="E317" s="36"/>
      <c r="F317" s="36" t="n">
        <v>-1.238</v>
      </c>
      <c r="G317" s="36" t="n">
        <v>-0.606</v>
      </c>
      <c r="H317" s="36"/>
      <c r="I317" s="36" t="n">
        <v>-0.604</v>
      </c>
      <c r="J317" s="36" t="n">
        <v>-0.642</v>
      </c>
      <c r="L317" s="84" t="s">
        <v>361</v>
      </c>
      <c r="M317" s="36" t="n">
        <v>2.63333333333333</v>
      </c>
      <c r="N317" s="36" t="n">
        <v>-9.22</v>
      </c>
      <c r="O317" s="36" t="n">
        <v>-6.23</v>
      </c>
      <c r="P317" s="36" t="n">
        <v>2.63333333333333</v>
      </c>
      <c r="Q317" s="36" t="n">
        <v>-9.21</v>
      </c>
      <c r="R317" s="36" t="n">
        <v>-6.24</v>
      </c>
    </row>
    <row r="318" customFormat="false" ht="15" hidden="false" customHeight="false" outlineLevel="0" collapsed="false">
      <c r="A318" s="84" t="s">
        <v>362</v>
      </c>
      <c r="B318" s="36" t="n">
        <v>0.526666666666667</v>
      </c>
      <c r="C318" s="36"/>
      <c r="D318" s="36"/>
      <c r="E318" s="36"/>
      <c r="F318" s="36" t="n">
        <v>-1.276</v>
      </c>
      <c r="G318" s="36" t="n">
        <v>-0.584</v>
      </c>
      <c r="H318" s="36"/>
      <c r="I318" s="36" t="n">
        <v>-0.604</v>
      </c>
      <c r="J318" s="36" t="n">
        <v>-0.6425</v>
      </c>
      <c r="L318" s="84" t="s">
        <v>362</v>
      </c>
      <c r="M318" s="36" t="n">
        <v>2.63333333333333</v>
      </c>
      <c r="N318" s="36" t="n">
        <v>-9.3</v>
      </c>
      <c r="O318" s="36" t="n">
        <v>-6.2325</v>
      </c>
      <c r="P318" s="36" t="n">
        <v>2.63333333333333</v>
      </c>
      <c r="Q318" s="36" t="n">
        <v>-9.4</v>
      </c>
      <c r="R318" s="36" t="n">
        <v>-6.1325</v>
      </c>
    </row>
    <row r="319" customFormat="false" ht="15" hidden="false" customHeight="false" outlineLevel="0" collapsed="false">
      <c r="A319" s="84" t="s">
        <v>363</v>
      </c>
      <c r="B319" s="36" t="n">
        <v>0.74</v>
      </c>
      <c r="C319" s="36"/>
      <c r="D319" s="36"/>
      <c r="E319" s="36"/>
      <c r="F319" s="36" t="n">
        <v>-0.268</v>
      </c>
      <c r="G319" s="36" t="n">
        <v>-0.572</v>
      </c>
      <c r="H319" s="36"/>
      <c r="I319" s="36" t="n">
        <v>-0.538</v>
      </c>
      <c r="J319" s="36" t="n">
        <v>-0.6405</v>
      </c>
      <c r="L319" s="84" t="s">
        <v>363</v>
      </c>
      <c r="M319" s="36" t="n">
        <v>3.7</v>
      </c>
      <c r="N319" s="36" t="n">
        <v>-4.2</v>
      </c>
      <c r="O319" s="36" t="n">
        <v>-5.8925</v>
      </c>
      <c r="P319" s="36" t="n">
        <v>3.7</v>
      </c>
      <c r="Q319" s="36" t="n">
        <v>-4.03</v>
      </c>
      <c r="R319" s="36" t="n">
        <v>-6.0625</v>
      </c>
    </row>
    <row r="320" customFormat="false" ht="15" hidden="false" customHeight="false" outlineLevel="0" collapsed="false">
      <c r="A320" s="84" t="s">
        <v>364</v>
      </c>
      <c r="B320" s="36" t="n">
        <v>1.26666666666667</v>
      </c>
      <c r="C320" s="36"/>
      <c r="D320" s="36"/>
      <c r="E320" s="36"/>
      <c r="F320" s="36" t="n">
        <v>-1.504</v>
      </c>
      <c r="G320" s="36" t="n">
        <v>-1.096</v>
      </c>
      <c r="H320" s="36"/>
      <c r="I320" s="36" t="n">
        <v>-1.198</v>
      </c>
      <c r="J320" s="36" t="n">
        <v>-1.282</v>
      </c>
      <c r="L320" s="84" t="s">
        <v>364</v>
      </c>
      <c r="M320" s="36" t="n">
        <v>6.33333333333333</v>
      </c>
      <c r="N320" s="36" t="n">
        <v>-13</v>
      </c>
      <c r="O320" s="36" t="n">
        <v>-12.4</v>
      </c>
      <c r="P320" s="36" t="n">
        <v>6.33333333333333</v>
      </c>
      <c r="Q320" s="36" t="n">
        <v>-13.51</v>
      </c>
      <c r="R320" s="36" t="n">
        <v>-11.89</v>
      </c>
    </row>
    <row r="321" customFormat="false" ht="15" hidden="false" customHeight="false" outlineLevel="0" collapsed="false">
      <c r="A321" s="84" t="s">
        <v>365</v>
      </c>
      <c r="B321" s="36" t="n">
        <v>1.26666666666667</v>
      </c>
      <c r="C321" s="36"/>
      <c r="D321" s="36"/>
      <c r="E321" s="36"/>
      <c r="F321" s="36" t="n">
        <v>-1.542</v>
      </c>
      <c r="G321" s="36" t="n">
        <v>-1.156</v>
      </c>
      <c r="H321" s="36"/>
      <c r="I321" s="36" t="n">
        <v>-1.14</v>
      </c>
      <c r="J321" s="36" t="n">
        <v>-1.283</v>
      </c>
      <c r="L321" s="84" t="s">
        <v>365</v>
      </c>
      <c r="M321" s="36" t="n">
        <v>6.33333333333333</v>
      </c>
      <c r="N321" s="36" t="n">
        <v>-13.49</v>
      </c>
      <c r="O321" s="36" t="n">
        <v>-12.115</v>
      </c>
      <c r="P321" s="36" t="n">
        <v>6.33333333333333</v>
      </c>
      <c r="Q321" s="36" t="n">
        <v>-13.41</v>
      </c>
      <c r="R321" s="36" t="n">
        <v>-12.195</v>
      </c>
    </row>
    <row r="322" customFormat="false" ht="15" hidden="false" customHeight="false" outlineLevel="0" collapsed="false">
      <c r="A322" s="84" t="s">
        <v>366</v>
      </c>
      <c r="B322" s="36" t="n">
        <v>2.53333333333333</v>
      </c>
      <c r="C322" s="36"/>
      <c r="D322" s="36"/>
      <c r="E322" s="36"/>
      <c r="F322" s="36" t="n">
        <v>-3.046</v>
      </c>
      <c r="G322" s="36" t="n">
        <v>-2.252</v>
      </c>
      <c r="H322" s="36"/>
      <c r="I322" s="36" t="n">
        <v>-2.338</v>
      </c>
      <c r="J322" s="36" t="n">
        <v>-2.565</v>
      </c>
      <c r="L322" s="84" t="s">
        <v>366</v>
      </c>
      <c r="M322" s="36" t="n">
        <v>12.6666666666667</v>
      </c>
      <c r="N322" s="36" t="n">
        <v>-26.49</v>
      </c>
      <c r="O322" s="36" t="n">
        <v>-24.515</v>
      </c>
      <c r="P322" s="36" t="n">
        <v>12.6666666666667</v>
      </c>
      <c r="Q322" s="36" t="n">
        <v>-26.92</v>
      </c>
      <c r="R322" s="36" t="n">
        <v>-24.085</v>
      </c>
    </row>
    <row r="323" customFormat="false" ht="15" hidden="false" customHeight="false" outlineLevel="0" collapsed="false">
      <c r="A323" s="84" t="s">
        <v>367</v>
      </c>
      <c r="B323" s="36" t="n">
        <v>1.26666666666667</v>
      </c>
      <c r="C323" s="36"/>
      <c r="D323" s="36"/>
      <c r="E323" s="36"/>
      <c r="F323" s="36" t="n">
        <v>2.01</v>
      </c>
      <c r="G323" s="36" t="n">
        <v>1.096</v>
      </c>
      <c r="H323" s="36"/>
      <c r="I323" s="36" t="n">
        <v>1.198</v>
      </c>
      <c r="J323" s="36" t="n">
        <v>1.282</v>
      </c>
      <c r="L323" s="84" t="s">
        <v>367</v>
      </c>
      <c r="M323" s="36" t="n">
        <v>6.33333333333333</v>
      </c>
      <c r="N323" s="36" t="n">
        <v>15.53</v>
      </c>
      <c r="O323" s="36" t="n">
        <v>12.4</v>
      </c>
      <c r="P323" s="36" t="n">
        <v>6.33333333333333</v>
      </c>
      <c r="Q323" s="36" t="n">
        <v>16.04</v>
      </c>
      <c r="R323" s="36" t="n">
        <v>11.89</v>
      </c>
    </row>
    <row r="324" customFormat="false" ht="15" hidden="false" customHeight="false" outlineLevel="0" collapsed="false">
      <c r="A324" s="84" t="s">
        <v>368</v>
      </c>
      <c r="B324" s="36" t="n">
        <v>1.26666666666667</v>
      </c>
      <c r="C324" s="36"/>
      <c r="D324" s="36"/>
      <c r="E324" s="36"/>
      <c r="F324" s="36" t="n">
        <v>2.048</v>
      </c>
      <c r="G324" s="36" t="n">
        <v>1.156</v>
      </c>
      <c r="H324" s="36"/>
      <c r="I324" s="36" t="n">
        <v>1.14</v>
      </c>
      <c r="J324" s="36" t="n">
        <v>1.283</v>
      </c>
      <c r="L324" s="84" t="s">
        <v>368</v>
      </c>
      <c r="M324" s="36" t="n">
        <v>6.33333333333333</v>
      </c>
      <c r="N324" s="36" t="n">
        <v>16.02</v>
      </c>
      <c r="O324" s="36" t="n">
        <v>12.115</v>
      </c>
      <c r="P324" s="36" t="n">
        <v>6.33333333333333</v>
      </c>
      <c r="Q324" s="36" t="n">
        <v>15.94</v>
      </c>
      <c r="R324" s="36" t="n">
        <v>12.195</v>
      </c>
    </row>
    <row r="325" customFormat="false" ht="15" hidden="false" customHeight="false" outlineLevel="0" collapsed="false">
      <c r="A325" s="84" t="s">
        <v>369</v>
      </c>
      <c r="B325" s="36" t="n">
        <v>2.53333333333333</v>
      </c>
      <c r="C325" s="36"/>
      <c r="D325" s="36"/>
      <c r="E325" s="36"/>
      <c r="F325" s="36" t="n">
        <v>4.059</v>
      </c>
      <c r="G325" s="36" t="n">
        <v>2.252</v>
      </c>
      <c r="H325" s="36"/>
      <c r="I325" s="36" t="n">
        <v>2.338</v>
      </c>
      <c r="J325" s="36" t="n">
        <v>2.5635</v>
      </c>
      <c r="L325" s="84" t="s">
        <v>369</v>
      </c>
      <c r="M325" s="36" t="n">
        <v>12.6666666666667</v>
      </c>
      <c r="N325" s="36" t="n">
        <v>31.555</v>
      </c>
      <c r="O325" s="36" t="n">
        <v>24.5075</v>
      </c>
      <c r="P325" s="36" t="n">
        <v>12.6666666666667</v>
      </c>
      <c r="Q325" s="36" t="n">
        <v>31.985</v>
      </c>
      <c r="R325" s="36" t="n">
        <v>24.0775</v>
      </c>
    </row>
    <row r="328" customFormat="false" ht="15" hidden="false" customHeight="false" outlineLevel="0" collapsed="false">
      <c r="A328" s="82" t="s">
        <v>374</v>
      </c>
      <c r="B328" s="82"/>
      <c r="C328" s="82"/>
      <c r="D328" s="82"/>
      <c r="E328" s="82"/>
      <c r="F328" s="82"/>
      <c r="G328" s="82"/>
      <c r="H328" s="82"/>
      <c r="I328" s="82"/>
      <c r="J328" s="82"/>
      <c r="L328" s="82" t="s">
        <v>375</v>
      </c>
      <c r="M328" s="82"/>
      <c r="N328" s="82"/>
      <c r="O328" s="82"/>
      <c r="P328" s="82"/>
      <c r="Q328" s="82"/>
      <c r="R328" s="82"/>
    </row>
    <row r="330" customFormat="false" ht="15" hidden="false" customHeight="false" outlineLevel="0" collapsed="false">
      <c r="A330" s="83"/>
      <c r="B330" s="83" t="s">
        <v>209</v>
      </c>
      <c r="C330" s="83" t="s">
        <v>210</v>
      </c>
      <c r="D330" s="83" t="s">
        <v>211</v>
      </c>
      <c r="E330" s="84" t="s">
        <v>219</v>
      </c>
      <c r="F330" s="84" t="s">
        <v>102</v>
      </c>
      <c r="G330" s="84" t="s">
        <v>220</v>
      </c>
      <c r="H330" s="84" t="s">
        <v>227</v>
      </c>
      <c r="I330" s="84" t="s">
        <v>228</v>
      </c>
      <c r="J330" s="84" t="s">
        <v>229</v>
      </c>
      <c r="L330" s="83"/>
      <c r="M330" s="83" t="s">
        <v>205</v>
      </c>
      <c r="N330" s="83" t="s">
        <v>215</v>
      </c>
      <c r="O330" s="83" t="s">
        <v>223</v>
      </c>
      <c r="P330" s="84" t="s">
        <v>171</v>
      </c>
      <c r="Q330" s="84" t="s">
        <v>172</v>
      </c>
      <c r="R330" s="84" t="s">
        <v>173</v>
      </c>
    </row>
    <row r="331" customFormat="false" ht="15" hidden="false" customHeight="false" outlineLevel="0" collapsed="false">
      <c r="A331" s="84" t="s">
        <v>360</v>
      </c>
      <c r="B331" s="36" t="n">
        <v>22.8677379480841</v>
      </c>
      <c r="C331" s="36"/>
      <c r="D331" s="36"/>
      <c r="E331" s="36"/>
      <c r="F331" s="36" t="n">
        <v>-8.28182941903584</v>
      </c>
      <c r="G331" s="36" t="n">
        <v>-15.1421508034611</v>
      </c>
      <c r="H331" s="36"/>
      <c r="I331" s="36" t="n">
        <v>-18.3559950556242</v>
      </c>
      <c r="J331" s="36" t="n">
        <v>-19.7775030902349</v>
      </c>
      <c r="L331" s="84" t="s">
        <v>360</v>
      </c>
      <c r="M331" s="36" t="n">
        <v>22.8677379480841</v>
      </c>
      <c r="N331" s="36" t="n">
        <v>-23.4239802224969</v>
      </c>
      <c r="O331" s="36" t="n">
        <v>-38.1334981458591</v>
      </c>
      <c r="P331" s="36" t="n">
        <v>22.8677379480841</v>
      </c>
      <c r="Q331" s="36" t="n">
        <v>-26.6378244746601</v>
      </c>
      <c r="R331" s="36" t="n">
        <v>-34.9196538936959</v>
      </c>
    </row>
    <row r="332" customFormat="false" ht="15" hidden="false" customHeight="false" outlineLevel="0" collapsed="false">
      <c r="A332" s="84" t="s">
        <v>361</v>
      </c>
      <c r="B332" s="36" t="n">
        <v>14.5622119815668</v>
      </c>
      <c r="C332" s="36"/>
      <c r="D332" s="36"/>
      <c r="E332" s="36"/>
      <c r="F332" s="36" t="n">
        <v>-34.2304147465438</v>
      </c>
      <c r="G332" s="36" t="n">
        <v>-16.7557603686636</v>
      </c>
      <c r="H332" s="36"/>
      <c r="I332" s="36" t="n">
        <v>-16.7004608294931</v>
      </c>
      <c r="J332" s="36" t="n">
        <v>-17.7511520737327</v>
      </c>
      <c r="L332" s="84" t="s">
        <v>361</v>
      </c>
      <c r="M332" s="36" t="n">
        <v>14.5622119815668</v>
      </c>
      <c r="N332" s="36" t="n">
        <v>-50.9861751152074</v>
      </c>
      <c r="O332" s="36" t="n">
        <v>-34.4516129032258</v>
      </c>
      <c r="P332" s="36" t="n">
        <v>14.5622119815668</v>
      </c>
      <c r="Q332" s="36" t="n">
        <v>-50.9308755760369</v>
      </c>
      <c r="R332" s="36" t="n">
        <v>-34.5069124423963</v>
      </c>
    </row>
    <row r="333" customFormat="false" ht="15" hidden="false" customHeight="false" outlineLevel="0" collapsed="false">
      <c r="A333" s="84" t="s">
        <v>362</v>
      </c>
      <c r="B333" s="36" t="n">
        <v>14.496077801734</v>
      </c>
      <c r="C333" s="36"/>
      <c r="D333" s="36"/>
      <c r="E333" s="36"/>
      <c r="F333" s="36" t="n">
        <v>-35.1208771044543</v>
      </c>
      <c r="G333" s="36" t="n">
        <v>-16.0741318409101</v>
      </c>
      <c r="H333" s="36"/>
      <c r="I333" s="36" t="n">
        <v>-16.6246158080646</v>
      </c>
      <c r="J333" s="36" t="n">
        <v>-17.6842974448369</v>
      </c>
      <c r="L333" s="84" t="s">
        <v>362</v>
      </c>
      <c r="M333" s="36" t="n">
        <v>14.496077801734</v>
      </c>
      <c r="N333" s="36" t="n">
        <v>-51.1950089453645</v>
      </c>
      <c r="O333" s="36" t="n">
        <v>-34.3089132529015</v>
      </c>
      <c r="P333" s="36" t="n">
        <v>14.496077801734</v>
      </c>
      <c r="Q333" s="36" t="n">
        <v>-51.7454929125189</v>
      </c>
      <c r="R333" s="36" t="n">
        <v>-33.7584292857471</v>
      </c>
    </row>
    <row r="334" customFormat="false" ht="15" hidden="false" customHeight="false" outlineLevel="0" collapsed="false">
      <c r="A334" s="84" t="s">
        <v>363</v>
      </c>
      <c r="B334" s="36" t="n">
        <v>22.6819923371648</v>
      </c>
      <c r="C334" s="36"/>
      <c r="D334" s="36"/>
      <c r="E334" s="36"/>
      <c r="F334" s="36" t="n">
        <v>-8.21455938697318</v>
      </c>
      <c r="G334" s="36" t="n">
        <v>-17.5325670498084</v>
      </c>
      <c r="H334" s="36"/>
      <c r="I334" s="36" t="n">
        <v>-16.4904214559387</v>
      </c>
      <c r="J334" s="36" t="n">
        <v>-19.632183908046</v>
      </c>
      <c r="L334" s="84" t="s">
        <v>363</v>
      </c>
      <c r="M334" s="36" t="n">
        <v>22.6819923371648</v>
      </c>
      <c r="N334" s="36" t="n">
        <v>-25.7471264367816</v>
      </c>
      <c r="O334" s="36" t="n">
        <v>-36.1226053639847</v>
      </c>
      <c r="P334" s="36" t="n">
        <v>22.6819923371648</v>
      </c>
      <c r="Q334" s="36" t="n">
        <v>-24.7049808429119</v>
      </c>
      <c r="R334" s="36" t="n">
        <v>-37.1647509578544</v>
      </c>
    </row>
    <row r="335" customFormat="false" ht="15" hidden="false" customHeight="false" outlineLevel="0" collapsed="false">
      <c r="A335" s="84" t="s">
        <v>364</v>
      </c>
      <c r="B335" s="36" t="n">
        <v>18.7747035573123</v>
      </c>
      <c r="C335" s="36"/>
      <c r="D335" s="36"/>
      <c r="E335" s="36"/>
      <c r="F335" s="36" t="n">
        <v>-22.2924901185771</v>
      </c>
      <c r="G335" s="36" t="n">
        <v>-16.2450592885376</v>
      </c>
      <c r="H335" s="36"/>
      <c r="I335" s="36" t="n">
        <v>-17.7569169960474</v>
      </c>
      <c r="J335" s="36" t="n">
        <v>-19.001976284585</v>
      </c>
      <c r="L335" s="84" t="s">
        <v>364</v>
      </c>
      <c r="M335" s="36" t="n">
        <v>18.7747035573123</v>
      </c>
      <c r="N335" s="36" t="n">
        <v>-38.5375494071146</v>
      </c>
      <c r="O335" s="36" t="n">
        <v>-36.7588932806324</v>
      </c>
      <c r="P335" s="36" t="n">
        <v>18.7747035573123</v>
      </c>
      <c r="Q335" s="36" t="n">
        <v>-40.0494071146245</v>
      </c>
      <c r="R335" s="36" t="n">
        <v>-35.2470355731225</v>
      </c>
    </row>
    <row r="336" customFormat="false" ht="15" hidden="false" customHeight="false" outlineLevel="0" collapsed="false">
      <c r="A336" s="84" t="s">
        <v>365</v>
      </c>
      <c r="B336" s="36" t="n">
        <v>18.6612974512596</v>
      </c>
      <c r="C336" s="36"/>
      <c r="D336" s="36"/>
      <c r="E336" s="36"/>
      <c r="F336" s="36" t="n">
        <v>-22.7176742130334</v>
      </c>
      <c r="G336" s="36" t="n">
        <v>-17.0308893581496</v>
      </c>
      <c r="H336" s="36"/>
      <c r="I336" s="36" t="n">
        <v>-16.7951677061337</v>
      </c>
      <c r="J336" s="36" t="n">
        <v>-18.9019299710259</v>
      </c>
      <c r="L336" s="84" t="s">
        <v>365</v>
      </c>
      <c r="M336" s="36" t="n">
        <v>18.6612974512596</v>
      </c>
      <c r="N336" s="36" t="n">
        <v>-39.748563571183</v>
      </c>
      <c r="O336" s="36" t="n">
        <v>-35.6970976771596</v>
      </c>
      <c r="P336" s="36" t="n">
        <v>18.6612974512596</v>
      </c>
      <c r="Q336" s="36" t="n">
        <v>-39.5128419191671</v>
      </c>
      <c r="R336" s="36" t="n">
        <v>-35.9328193291755</v>
      </c>
    </row>
    <row r="337" customFormat="false" ht="15" hidden="false" customHeight="false" outlineLevel="0" collapsed="false">
      <c r="A337" s="84" t="s">
        <v>366</v>
      </c>
      <c r="B337" s="36" t="n">
        <v>18.7178287318671</v>
      </c>
      <c r="C337" s="36"/>
      <c r="D337" s="36"/>
      <c r="E337" s="36"/>
      <c r="F337" s="36" t="n">
        <v>-22.5057261778686</v>
      </c>
      <c r="G337" s="36" t="n">
        <v>-16.6391645937492</v>
      </c>
      <c r="H337" s="36"/>
      <c r="I337" s="36" t="n">
        <v>-17.2745856217521</v>
      </c>
      <c r="J337" s="36" t="n">
        <v>-18.9518015910154</v>
      </c>
      <c r="L337" s="84" t="s">
        <v>366</v>
      </c>
      <c r="M337" s="36" t="n">
        <v>18.7178287318671</v>
      </c>
      <c r="N337" s="36" t="n">
        <v>-39.1448907716179</v>
      </c>
      <c r="O337" s="36" t="n">
        <v>-36.2263872127675</v>
      </c>
      <c r="P337" s="36" t="n">
        <v>18.7178287318671</v>
      </c>
      <c r="Q337" s="36" t="n">
        <v>-39.7803117996207</v>
      </c>
      <c r="R337" s="36" t="n">
        <v>-35.5909661847647</v>
      </c>
    </row>
    <row r="338" customFormat="false" ht="15" hidden="false" customHeight="false" outlineLevel="0" collapsed="false">
      <c r="A338" s="84" t="s">
        <v>367</v>
      </c>
      <c r="B338" s="36" t="n">
        <v>18.4842883548983</v>
      </c>
      <c r="C338" s="36"/>
      <c r="D338" s="36"/>
      <c r="E338" s="36"/>
      <c r="F338" s="36" t="n">
        <v>29.3316470473782</v>
      </c>
      <c r="G338" s="36" t="n">
        <v>15.9937737133962</v>
      </c>
      <c r="H338" s="36"/>
      <c r="I338" s="36" t="n">
        <v>17.4822453546065</v>
      </c>
      <c r="J338" s="36" t="n">
        <v>18.7080455297208</v>
      </c>
      <c r="L338" s="84" t="s">
        <v>367</v>
      </c>
      <c r="M338" s="36" t="n">
        <v>18.4842883548983</v>
      </c>
      <c r="N338" s="36" t="n">
        <v>45.3254207607744</v>
      </c>
      <c r="O338" s="36" t="n">
        <v>36.1902908843273</v>
      </c>
      <c r="P338" s="36" t="n">
        <v>18.4842883548983</v>
      </c>
      <c r="Q338" s="36" t="n">
        <v>46.8138924019846</v>
      </c>
      <c r="R338" s="36" t="n">
        <v>34.701819243117</v>
      </c>
    </row>
    <row r="339" customFormat="false" ht="15" hidden="false" customHeight="false" outlineLevel="0" collapsed="false">
      <c r="A339" s="84" t="s">
        <v>368</v>
      </c>
      <c r="B339" s="36" t="n">
        <v>18.3743532711184</v>
      </c>
      <c r="C339" s="36"/>
      <c r="D339" s="36"/>
      <c r="E339" s="36"/>
      <c r="F339" s="36" t="n">
        <v>29.7084280257241</v>
      </c>
      <c r="G339" s="36" t="n">
        <v>16.7690150379576</v>
      </c>
      <c r="H339" s="36"/>
      <c r="I339" s="36" t="n">
        <v>16.5369179440066</v>
      </c>
      <c r="J339" s="36" t="n">
        <v>18.6112857211934</v>
      </c>
      <c r="L339" s="84" t="s">
        <v>368</v>
      </c>
      <c r="M339" s="36" t="n">
        <v>18.3743532711184</v>
      </c>
      <c r="N339" s="36" t="n">
        <v>46.4774430636816</v>
      </c>
      <c r="O339" s="36" t="n">
        <v>35.1482036651999</v>
      </c>
      <c r="P339" s="36" t="n">
        <v>18.3743532711184</v>
      </c>
      <c r="Q339" s="36" t="n">
        <v>46.2453459697307</v>
      </c>
      <c r="R339" s="36" t="n">
        <v>35.3803007591509</v>
      </c>
    </row>
    <row r="340" customFormat="false" ht="15" hidden="false" customHeight="false" outlineLevel="0" collapsed="false">
      <c r="A340" s="84" t="s">
        <v>369</v>
      </c>
      <c r="B340" s="36" t="n">
        <v>18.4298272203698</v>
      </c>
      <c r="C340" s="36"/>
      <c r="D340" s="36"/>
      <c r="E340" s="36"/>
      <c r="F340" s="36" t="n">
        <v>29.528948166111</v>
      </c>
      <c r="G340" s="36" t="n">
        <v>16.3831464080024</v>
      </c>
      <c r="H340" s="36"/>
      <c r="I340" s="36" t="n">
        <v>17.0087905425887</v>
      </c>
      <c r="J340" s="36" t="n">
        <v>18.6492876629282</v>
      </c>
      <c r="L340" s="84" t="s">
        <v>369</v>
      </c>
      <c r="M340" s="36" t="n">
        <v>18.4298272203698</v>
      </c>
      <c r="N340" s="36" t="n">
        <v>45.9120945741134</v>
      </c>
      <c r="O340" s="36" t="n">
        <v>35.6580782055168</v>
      </c>
      <c r="P340" s="36" t="n">
        <v>18.4298272203698</v>
      </c>
      <c r="Q340" s="36" t="n">
        <v>46.5377387086996</v>
      </c>
      <c r="R340" s="36" t="n">
        <v>35.0324340709306</v>
      </c>
    </row>
  </sheetData>
  <mergeCells count="63">
    <mergeCell ref="C1:E3"/>
    <mergeCell ref="C4:E5"/>
    <mergeCell ref="A7:K7"/>
    <mergeCell ref="B9:C9"/>
    <mergeCell ref="D9:E9"/>
    <mergeCell ref="F9:G9"/>
    <mergeCell ref="H9:I9"/>
    <mergeCell ref="J9:K9"/>
    <mergeCell ref="A17:J17"/>
    <mergeCell ref="M17:V17"/>
    <mergeCell ref="A31:K31"/>
    <mergeCell ref="M31:W31"/>
    <mergeCell ref="M33:W33"/>
    <mergeCell ref="A45:E45"/>
    <mergeCell ref="M47:Q47"/>
    <mergeCell ref="A61:K61"/>
    <mergeCell ref="N61:X61"/>
    <mergeCell ref="A73:E73"/>
    <mergeCell ref="N73:R73"/>
    <mergeCell ref="A83:K83"/>
    <mergeCell ref="N83:X83"/>
    <mergeCell ref="A95:E95"/>
    <mergeCell ref="N95:R95"/>
    <mergeCell ref="A105:K105"/>
    <mergeCell ref="N105:X105"/>
    <mergeCell ref="A117:E117"/>
    <mergeCell ref="N117:R117"/>
    <mergeCell ref="A127:K127"/>
    <mergeCell ref="N127:X127"/>
    <mergeCell ref="A139:E139"/>
    <mergeCell ref="N139:R139"/>
    <mergeCell ref="A149:K149"/>
    <mergeCell ref="N149:X149"/>
    <mergeCell ref="A161:E161"/>
    <mergeCell ref="N161:R161"/>
    <mergeCell ref="A171:K171"/>
    <mergeCell ref="N171:X171"/>
    <mergeCell ref="A183:E183"/>
    <mergeCell ref="N183:R183"/>
    <mergeCell ref="A193:K193"/>
    <mergeCell ref="N193:X193"/>
    <mergeCell ref="A205:E205"/>
    <mergeCell ref="N205:R205"/>
    <mergeCell ref="A215:K215"/>
    <mergeCell ref="N215:X215"/>
    <mergeCell ref="A227:E227"/>
    <mergeCell ref="N227:R227"/>
    <mergeCell ref="A237:K237"/>
    <mergeCell ref="N237:X237"/>
    <mergeCell ref="A249:E249"/>
    <mergeCell ref="N249:R249"/>
    <mergeCell ref="A259:K259"/>
    <mergeCell ref="N259:X259"/>
    <mergeCell ref="A271:E271"/>
    <mergeCell ref="N271:R271"/>
    <mergeCell ref="A283:J283"/>
    <mergeCell ref="L283:R283"/>
    <mergeCell ref="A298:J298"/>
    <mergeCell ref="L298:R298"/>
    <mergeCell ref="A313:J313"/>
    <mergeCell ref="L313:R313"/>
    <mergeCell ref="A328:J328"/>
    <mergeCell ref="L328:R32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48576"/>
  <sheetViews>
    <sheetView showFormulas="false" showGridLines="true" showRowColHeaders="true" showZeros="true" rightToLeft="false" tabSelected="true" showOutlineSymbols="true" defaultGridColor="true" view="normal" topLeftCell="A1" colorId="64" zoomScale="197" zoomScaleNormal="197" zoomScalePageLayoutView="100" workbookViewId="0">
      <selection pane="topLeft" activeCell="J10" activeCellId="0" sqref="J10"/>
    </sheetView>
  </sheetViews>
  <sheetFormatPr defaultColWidth="8.60546875" defaultRowHeight="15" customHeight="false" zeroHeight="false" outlineLevelRow="0" outlineLevelCol="0"/>
  <cols>
    <col collapsed="false" customWidth="true" hidden="false" outlineLevel="0" max="4" min="2" style="0" width="6.91"/>
    <col collapsed="false" customWidth="true" hidden="false" outlineLevel="0" max="5" min="5" style="0" width="5.86"/>
    <col collapsed="false" customWidth="true" hidden="false" outlineLevel="0" max="12" min="6" style="0" width="6.43"/>
    <col collapsed="false" customWidth="true" hidden="false" outlineLevel="0" max="13" min="13" style="0" width="4.63"/>
  </cols>
  <sheetData>
    <row r="1" customFormat="false" ht="19.5" hidden="false" customHeight="true" outlineLevel="0" collapsed="false">
      <c r="A1" s="1"/>
      <c r="B1" s="1"/>
      <c r="C1" s="2" t="s">
        <v>376</v>
      </c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customFormat="false" ht="19.5" hidden="false" customHeight="true" outlineLevel="0" collapsed="false">
      <c r="A2" s="1"/>
      <c r="B2" s="1"/>
      <c r="C2" s="2"/>
      <c r="D2" s="2"/>
      <c r="E2" s="2"/>
      <c r="F2" s="3"/>
      <c r="G2" s="4" t="s">
        <v>1</v>
      </c>
      <c r="H2" s="5" t="s">
        <v>2</v>
      </c>
      <c r="I2" s="3"/>
      <c r="J2" s="3"/>
      <c r="K2" s="3"/>
      <c r="L2" s="3"/>
      <c r="M2" s="3"/>
      <c r="N2" s="3"/>
      <c r="O2" s="3"/>
      <c r="P2" s="3"/>
      <c r="Q2" s="3"/>
      <c r="R2" s="3"/>
    </row>
    <row r="3" customFormat="false" ht="19.5" hidden="false" customHeight="true" outlineLevel="0" collapsed="false">
      <c r="A3" s="1"/>
      <c r="B3" s="1"/>
      <c r="C3" s="2"/>
      <c r="D3" s="2"/>
      <c r="E3" s="2"/>
      <c r="F3" s="3"/>
      <c r="G3" s="4" t="s">
        <v>3</v>
      </c>
      <c r="H3" s="5" t="s">
        <v>4</v>
      </c>
      <c r="I3" s="3"/>
      <c r="J3" s="3"/>
      <c r="K3" s="4" t="s">
        <v>5</v>
      </c>
      <c r="L3" s="6" t="s">
        <v>6</v>
      </c>
      <c r="M3" s="3"/>
      <c r="N3" s="3"/>
      <c r="O3" s="3"/>
      <c r="P3" s="3"/>
      <c r="Q3" s="3"/>
      <c r="R3" s="3"/>
    </row>
    <row r="4" customFormat="false" ht="19.5" hidden="false" customHeight="true" outlineLevel="0" collapsed="false">
      <c r="A4" s="1"/>
      <c r="B4" s="1"/>
      <c r="C4" s="7" t="s">
        <v>7</v>
      </c>
      <c r="D4" s="7"/>
      <c r="E4" s="7"/>
      <c r="F4" s="3"/>
      <c r="G4" s="4" t="s">
        <v>8</v>
      </c>
      <c r="H4" s="5" t="s">
        <v>9</v>
      </c>
      <c r="I4" s="3"/>
      <c r="J4" s="3"/>
      <c r="K4" s="4" t="s">
        <v>10</v>
      </c>
      <c r="L4" s="6" t="s">
        <v>11</v>
      </c>
      <c r="M4" s="3"/>
      <c r="N4" s="3"/>
      <c r="O4" s="3"/>
      <c r="P4" s="3"/>
      <c r="Q4" s="3"/>
      <c r="R4" s="3"/>
    </row>
    <row r="5" customFormat="false" ht="19.5" hidden="false" customHeight="true" outlineLevel="0" collapsed="false">
      <c r="A5" s="8"/>
      <c r="B5" s="8"/>
      <c r="C5" s="7"/>
      <c r="D5" s="7"/>
      <c r="E5" s="7"/>
      <c r="F5" s="9"/>
      <c r="G5" s="10" t="s">
        <v>12</v>
      </c>
      <c r="H5" s="11" t="s">
        <v>13</v>
      </c>
      <c r="I5" s="9"/>
      <c r="J5" s="9"/>
      <c r="K5" s="10" t="s">
        <v>14</v>
      </c>
      <c r="L5" s="12" t="s">
        <v>15</v>
      </c>
      <c r="M5" s="9"/>
      <c r="N5" s="9"/>
      <c r="O5" s="9"/>
      <c r="P5" s="9"/>
      <c r="Q5" s="9"/>
      <c r="R5" s="9"/>
    </row>
    <row r="7" customFormat="false" ht="16.15" hidden="false" customHeight="false" outlineLevel="0" collapsed="false">
      <c r="A7" s="85" t="s">
        <v>377</v>
      </c>
    </row>
    <row r="8" customFormat="false" ht="15" hidden="false" customHeight="false" outlineLevel="0" collapsed="false">
      <c r="A8" s="86"/>
      <c r="B8" s="86"/>
      <c r="C8" s="86"/>
      <c r="D8" s="86"/>
      <c r="E8" s="86"/>
      <c r="F8" s="86" t="s">
        <v>378</v>
      </c>
      <c r="G8" s="86" t="s">
        <v>379</v>
      </c>
      <c r="H8" s="86" t="s">
        <v>380</v>
      </c>
      <c r="I8" s="86" t="s">
        <v>381</v>
      </c>
      <c r="J8" s="86" t="s">
        <v>382</v>
      </c>
      <c r="K8" s="86" t="s">
        <v>383</v>
      </c>
      <c r="L8" s="86" t="s">
        <v>384</v>
      </c>
      <c r="M8" s="86" t="s">
        <v>385</v>
      </c>
      <c r="N8" s="86" t="s">
        <v>386</v>
      </c>
    </row>
    <row r="9" customFormat="false" ht="15" hidden="false" customHeight="false" outlineLevel="0" collapsed="false">
      <c r="A9" s="87" t="s">
        <v>387</v>
      </c>
      <c r="B9" s="88" t="s">
        <v>360</v>
      </c>
      <c r="C9" s="88" t="s">
        <v>361</v>
      </c>
      <c r="D9" s="88" t="s">
        <v>362</v>
      </c>
      <c r="E9" s="88" t="s">
        <v>363</v>
      </c>
      <c r="F9" s="89" t="s">
        <v>364</v>
      </c>
      <c r="G9" s="90" t="s">
        <v>388</v>
      </c>
      <c r="H9" s="89" t="s">
        <v>365</v>
      </c>
      <c r="I9" s="89" t="s">
        <v>366</v>
      </c>
      <c r="J9" s="91" t="s">
        <v>367</v>
      </c>
      <c r="K9" s="90" t="s">
        <v>388</v>
      </c>
      <c r="L9" s="91" t="s">
        <v>368</v>
      </c>
      <c r="M9" s="91" t="s">
        <v>369</v>
      </c>
      <c r="N9" s="90" t="s">
        <v>389</v>
      </c>
    </row>
    <row r="10" customFormat="false" ht="15" hidden="false" customHeight="false" outlineLevel="0" collapsed="false">
      <c r="A10" s="87" t="n">
        <v>1</v>
      </c>
      <c r="B10" s="36" t="n">
        <v>1.83</v>
      </c>
      <c r="C10" s="36" t="n">
        <v>-1.92</v>
      </c>
      <c r="D10" s="36" t="n">
        <v>-2.025</v>
      </c>
      <c r="E10" s="36" t="n">
        <v>1.83</v>
      </c>
      <c r="F10" s="92" t="n">
        <f aca="false">B10+C10</f>
        <v>-0.0899999999999996</v>
      </c>
      <c r="G10" s="93" t="n">
        <f aca="false">H10-F10</f>
        <v>-0.105</v>
      </c>
      <c r="H10" s="92" t="n">
        <f aca="false">D10+E10</f>
        <v>-0.195</v>
      </c>
      <c r="I10" s="92" t="n">
        <f aca="false">F10+H10</f>
        <v>-0.285</v>
      </c>
      <c r="J10" s="94" t="n">
        <v>17.81</v>
      </c>
      <c r="K10" s="93" t="n">
        <f aca="false">L10-J10</f>
        <v>0.104999999999997</v>
      </c>
      <c r="L10" s="94" t="n">
        <v>17.915</v>
      </c>
      <c r="M10" s="94" t="n">
        <f aca="false">J10+L10</f>
        <v>35.725</v>
      </c>
      <c r="N10" s="93" t="n">
        <f aca="false">M10-I10</f>
        <v>36.01</v>
      </c>
    </row>
    <row r="11" customFormat="false" ht="15" hidden="false" customHeight="false" outlineLevel="0" collapsed="false">
      <c r="A11" s="87" t="n">
        <v>2</v>
      </c>
      <c r="B11" s="36" t="n">
        <v>2.32</v>
      </c>
      <c r="C11" s="36" t="n">
        <v>-1.735</v>
      </c>
      <c r="D11" s="36" t="n">
        <v>-1.71</v>
      </c>
      <c r="E11" s="36" t="n">
        <v>2.255</v>
      </c>
      <c r="F11" s="92" t="n">
        <f aca="false">B11+C11</f>
        <v>0.585000000000001</v>
      </c>
      <c r="G11" s="93" t="n">
        <f aca="false">H11-F11</f>
        <v>-0.04</v>
      </c>
      <c r="H11" s="92" t="n">
        <f aca="false">D11+E11</f>
        <v>0.545000000000001</v>
      </c>
      <c r="I11" s="92" t="n">
        <f aca="false">F11+H11</f>
        <v>1.13</v>
      </c>
      <c r="J11" s="94" t="n">
        <v>17.135</v>
      </c>
      <c r="K11" s="93" t="n">
        <f aca="false">L11-J11</f>
        <v>0.0400000000000027</v>
      </c>
      <c r="L11" s="94" t="n">
        <v>17.175</v>
      </c>
      <c r="M11" s="94" t="n">
        <f aca="false">J11+L11</f>
        <v>34.31</v>
      </c>
      <c r="N11" s="93" t="n">
        <f aca="false">M11-I11</f>
        <v>33.18</v>
      </c>
    </row>
    <row r="12" customFormat="false" ht="15" hidden="false" customHeight="false" outlineLevel="0" collapsed="false">
      <c r="A12" s="87" t="n">
        <v>3</v>
      </c>
      <c r="B12" s="36" t="n">
        <v>1.24</v>
      </c>
      <c r="C12" s="36" t="n">
        <v>-3.04</v>
      </c>
      <c r="D12" s="36" t="n">
        <v>-3.1</v>
      </c>
      <c r="E12" s="36" t="n">
        <v>1.235</v>
      </c>
      <c r="F12" s="92" t="n">
        <f aca="false">B12+C12</f>
        <v>-1.8</v>
      </c>
      <c r="G12" s="93" t="n">
        <f aca="false">H12-F12</f>
        <v>-0.065</v>
      </c>
      <c r="H12" s="92" t="n">
        <f aca="false">D12+E12</f>
        <v>-1.865</v>
      </c>
      <c r="I12" s="92" t="n">
        <f aca="false">F12+H12</f>
        <v>-3.665</v>
      </c>
      <c r="J12" s="94" t="n">
        <v>19.52</v>
      </c>
      <c r="K12" s="93" t="n">
        <f aca="false">L12-J12</f>
        <v>0.0649999999999977</v>
      </c>
      <c r="L12" s="94" t="n">
        <v>19.585</v>
      </c>
      <c r="M12" s="94" t="n">
        <f aca="false">J12+L12</f>
        <v>39.105</v>
      </c>
      <c r="N12" s="93" t="n">
        <f aca="false">M12-I12</f>
        <v>42.77</v>
      </c>
    </row>
    <row r="13" customFormat="false" ht="15" hidden="false" customHeight="false" outlineLevel="0" collapsed="false">
      <c r="A13" s="87" t="n">
        <v>4</v>
      </c>
      <c r="B13" s="36" t="n">
        <v>-0.88</v>
      </c>
      <c r="C13" s="36" t="n">
        <v>-4.945</v>
      </c>
      <c r="D13" s="36" t="n">
        <v>-5</v>
      </c>
      <c r="E13" s="36" t="n">
        <v>-0.949999999999999</v>
      </c>
      <c r="F13" s="92" t="n">
        <f aca="false">B13+C13</f>
        <v>-5.825</v>
      </c>
      <c r="G13" s="93" t="n">
        <f aca="false">H13-F13</f>
        <v>-0.124999999999999</v>
      </c>
      <c r="H13" s="92" t="n">
        <f aca="false">D13+E13</f>
        <v>-5.95</v>
      </c>
      <c r="I13" s="92" t="n">
        <f aca="false">F13+H13</f>
        <v>-11.775</v>
      </c>
      <c r="J13" s="94" t="n">
        <v>23.545</v>
      </c>
      <c r="K13" s="93" t="n">
        <f aca="false">L13-J13</f>
        <v>0.125</v>
      </c>
      <c r="L13" s="94" t="n">
        <v>23.67</v>
      </c>
      <c r="M13" s="94" t="n">
        <f aca="false">J13+L13</f>
        <v>47.215</v>
      </c>
      <c r="N13" s="93" t="n">
        <f aca="false">M13-I13</f>
        <v>58.99</v>
      </c>
    </row>
    <row r="14" customFormat="false" ht="15" hidden="false" customHeight="false" outlineLevel="0" collapsed="false">
      <c r="A14" s="87" t="n">
        <v>5</v>
      </c>
      <c r="B14" s="36" t="n">
        <v>0.57</v>
      </c>
      <c r="C14" s="36" t="n">
        <v>-4.64</v>
      </c>
      <c r="D14" s="36" t="n">
        <v>-4.725</v>
      </c>
      <c r="E14" s="36" t="n">
        <v>0.57</v>
      </c>
      <c r="F14" s="92" t="n">
        <f aca="false">B14+C14</f>
        <v>-4.07</v>
      </c>
      <c r="G14" s="93" t="n">
        <f aca="false">H14-F14</f>
        <v>-0.085</v>
      </c>
      <c r="H14" s="92" t="n">
        <f aca="false">D14+E14</f>
        <v>-4.155</v>
      </c>
      <c r="I14" s="92" t="n">
        <f aca="false">F14+H14</f>
        <v>-8.225</v>
      </c>
      <c r="J14" s="94" t="n">
        <v>21.79</v>
      </c>
      <c r="K14" s="93" t="n">
        <f aca="false">L14-J14</f>
        <v>0.0850000000000009</v>
      </c>
      <c r="L14" s="94" t="n">
        <v>21.875</v>
      </c>
      <c r="M14" s="94" t="n">
        <f aca="false">J14+L14</f>
        <v>43.665</v>
      </c>
      <c r="N14" s="93" t="n">
        <f aca="false">M14-I14</f>
        <v>51.89</v>
      </c>
    </row>
    <row r="15" customFormat="false" ht="15" hidden="false" customHeight="false" outlineLevel="0" collapsed="false">
      <c r="A15" s="87" t="s">
        <v>260</v>
      </c>
      <c r="B15" s="95" t="n">
        <f aca="false">AVERAGE(B10:B14)</f>
        <v>1.016</v>
      </c>
      <c r="C15" s="95" t="n">
        <f aca="false">AVERAGE(C10:C14)</f>
        <v>-3.256</v>
      </c>
      <c r="D15" s="95" t="n">
        <f aca="false">AVERAGE(D10:D14)</f>
        <v>-3.312</v>
      </c>
      <c r="E15" s="95" t="n">
        <f aca="false">AVERAGE(E10:E14)</f>
        <v>0.988</v>
      </c>
      <c r="F15" s="95" t="n">
        <f aca="false">AVERAGE(F10:F14)</f>
        <v>-2.24</v>
      </c>
      <c r="G15" s="95" t="n">
        <f aca="false">AVERAGE(G10:G14)</f>
        <v>-0.0839999999999999</v>
      </c>
      <c r="H15" s="95" t="n">
        <f aca="false">AVERAGE(H10:H14)</f>
        <v>-2.324</v>
      </c>
      <c r="I15" s="95" t="n">
        <f aca="false">AVERAGE(I10:I14)</f>
        <v>-4.564</v>
      </c>
      <c r="J15" s="95" t="n">
        <f aca="false">AVERAGE(J10:J14)</f>
        <v>19.96</v>
      </c>
      <c r="K15" s="95" t="n">
        <f aca="false">AVERAGE(K10:K14)</f>
        <v>0.0839999999999996</v>
      </c>
      <c r="L15" s="95" t="n">
        <f aca="false">AVERAGE(L10:L14)</f>
        <v>20.044</v>
      </c>
      <c r="M15" s="95" t="n">
        <f aca="false">AVERAGE(M10:M14)</f>
        <v>40.004</v>
      </c>
      <c r="N15" s="95" t="n">
        <f aca="false">AVERAGE(N10:N14)</f>
        <v>44.568</v>
      </c>
    </row>
    <row r="18" customFormat="false" ht="15" hidden="false" customHeight="false" outlineLevel="0" collapsed="false">
      <c r="A18" s="96" t="s">
        <v>390</v>
      </c>
      <c r="L18" s="97" t="s">
        <v>391</v>
      </c>
      <c r="M18" s="97"/>
      <c r="N18" s="97"/>
      <c r="O18" s="97"/>
      <c r="P18" s="97"/>
    </row>
    <row r="20" customFormat="false" ht="15" hidden="false" customHeight="false" outlineLevel="0" collapsed="false">
      <c r="A20" s="58" t="s">
        <v>360</v>
      </c>
      <c r="B20" s="58" t="s">
        <v>65</v>
      </c>
      <c r="C20" s="58" t="s">
        <v>71</v>
      </c>
      <c r="D20" s="58" t="s">
        <v>74</v>
      </c>
      <c r="E20" s="58" t="s">
        <v>75</v>
      </c>
      <c r="F20" s="58" t="s">
        <v>70</v>
      </c>
      <c r="G20" s="58" t="s">
        <v>392</v>
      </c>
      <c r="H20" s="58" t="s">
        <v>393</v>
      </c>
      <c r="I20" s="58" t="s">
        <v>261</v>
      </c>
      <c r="J20" s="58" t="s">
        <v>394</v>
      </c>
      <c r="L20" s="98" t="s">
        <v>395</v>
      </c>
      <c r="M20" s="98" t="s">
        <v>392</v>
      </c>
      <c r="N20" s="98" t="s">
        <v>393</v>
      </c>
      <c r="O20" s="98" t="s">
        <v>261</v>
      </c>
      <c r="P20" s="98" t="s">
        <v>394</v>
      </c>
    </row>
    <row r="21" customFormat="false" ht="15" hidden="false" customHeight="false" outlineLevel="0" collapsed="false">
      <c r="A21" s="18" t="s">
        <v>65</v>
      </c>
      <c r="B21" s="36" t="n">
        <v>4.44</v>
      </c>
      <c r="C21" s="36" t="n">
        <v>1.26</v>
      </c>
      <c r="D21" s="36" t="n">
        <v>0</v>
      </c>
      <c r="E21" s="36" t="n">
        <v>-0.71</v>
      </c>
      <c r="F21" s="36" t="n">
        <v>-3.2</v>
      </c>
      <c r="G21" s="36" t="n">
        <v>1.79</v>
      </c>
      <c r="H21" s="36" t="n">
        <v>0.358</v>
      </c>
      <c r="I21" s="36" t="n">
        <v>2.80198501066655</v>
      </c>
      <c r="J21" s="36" t="n">
        <v>35.2362204724409</v>
      </c>
      <c r="L21" s="18" t="s">
        <v>360</v>
      </c>
      <c r="M21" s="36" t="n">
        <v>5.08</v>
      </c>
      <c r="N21" s="36" t="n">
        <v>0.2032</v>
      </c>
      <c r="O21" s="36" t="n">
        <v>2.57863796605883</v>
      </c>
      <c r="P21" s="36" t="n">
        <v>11.8525431637891</v>
      </c>
    </row>
    <row r="22" customFormat="false" ht="15" hidden="false" customHeight="false" outlineLevel="0" collapsed="false">
      <c r="A22" s="18" t="s">
        <v>71</v>
      </c>
      <c r="B22" s="36" t="n">
        <v>1.26</v>
      </c>
      <c r="C22" s="36" t="n">
        <v>0</v>
      </c>
      <c r="D22" s="36" t="n">
        <v>4.44</v>
      </c>
      <c r="E22" s="36" t="n">
        <v>-2.97</v>
      </c>
      <c r="F22" s="36" t="n">
        <v>-0.71</v>
      </c>
      <c r="G22" s="36" t="n">
        <v>2.02</v>
      </c>
      <c r="H22" s="36" t="n">
        <v>0.404</v>
      </c>
      <c r="I22" s="36" t="n">
        <v>2.72993223359116</v>
      </c>
      <c r="J22" s="36" t="n">
        <v>39.7637795275591</v>
      </c>
      <c r="L22" s="18" t="s">
        <v>361</v>
      </c>
      <c r="M22" s="36" t="n">
        <v>-16.28</v>
      </c>
      <c r="N22" s="36" t="n">
        <v>-0.6512</v>
      </c>
      <c r="O22" s="36" t="n">
        <v>2.26282181357702</v>
      </c>
      <c r="P22" s="36" t="n">
        <v>-37.9841343910406</v>
      </c>
    </row>
    <row r="23" customFormat="false" ht="15" hidden="false" customHeight="false" outlineLevel="0" collapsed="false">
      <c r="A23" s="18" t="s">
        <v>74</v>
      </c>
      <c r="B23" s="36" t="n">
        <v>0</v>
      </c>
      <c r="C23" s="36" t="n">
        <v>4.44</v>
      </c>
      <c r="D23" s="36" t="n">
        <v>1.26</v>
      </c>
      <c r="E23" s="36" t="n">
        <v>-3.2</v>
      </c>
      <c r="F23" s="36" t="n">
        <v>-1.26</v>
      </c>
      <c r="G23" s="36" t="n">
        <v>1.24</v>
      </c>
      <c r="H23" s="36" t="n">
        <v>0.248</v>
      </c>
      <c r="I23" s="36" t="n">
        <v>2.86449297433246</v>
      </c>
      <c r="J23" s="36" t="n">
        <v>24.4094488188976</v>
      </c>
      <c r="L23" s="18" t="s">
        <v>362</v>
      </c>
      <c r="M23" s="36" t="n">
        <v>-16.56</v>
      </c>
      <c r="N23" s="36" t="n">
        <v>-0.6624</v>
      </c>
      <c r="O23" s="36" t="n">
        <v>2.26679205927672</v>
      </c>
      <c r="P23" s="36" t="n">
        <v>-38.6374241717219</v>
      </c>
    </row>
    <row r="24" customFormat="false" ht="15" hidden="false" customHeight="false" outlineLevel="0" collapsed="false">
      <c r="A24" s="18" t="s">
        <v>75</v>
      </c>
      <c r="B24" s="36" t="n">
        <v>-0.63</v>
      </c>
      <c r="C24" s="36" t="n">
        <v>-2.45</v>
      </c>
      <c r="D24" s="36" t="n">
        <v>-3.2</v>
      </c>
      <c r="E24" s="36" t="n">
        <v>4.44</v>
      </c>
      <c r="F24" s="36" t="n">
        <v>1.26</v>
      </c>
      <c r="G24" s="36" t="n">
        <v>-0.58</v>
      </c>
      <c r="H24" s="36" t="n">
        <v>-0.116</v>
      </c>
      <c r="I24" s="36" t="n">
        <v>3.07706516018105</v>
      </c>
      <c r="J24" s="36" t="n">
        <v>-11.4173228346457</v>
      </c>
      <c r="L24" s="18" t="s">
        <v>363</v>
      </c>
      <c r="M24" s="36" t="n">
        <v>4.94</v>
      </c>
      <c r="N24" s="36" t="n">
        <v>0.1976</v>
      </c>
      <c r="O24" s="36" t="n">
        <v>2.58415832332309</v>
      </c>
      <c r="P24" s="36" t="n">
        <v>11.5258982734484</v>
      </c>
    </row>
    <row r="25" customFormat="false" ht="15" hidden="false" customHeight="false" outlineLevel="0" collapsed="false">
      <c r="A25" s="18" t="s">
        <v>70</v>
      </c>
      <c r="B25" s="36" t="n">
        <v>-3.2</v>
      </c>
      <c r="C25" s="36" t="n">
        <v>-0.63</v>
      </c>
      <c r="D25" s="36" t="n">
        <v>-1.26</v>
      </c>
      <c r="E25" s="36" t="n">
        <v>1.26</v>
      </c>
      <c r="F25" s="36" t="n">
        <v>4.44</v>
      </c>
      <c r="G25" s="36" t="n">
        <v>0.61</v>
      </c>
      <c r="H25" s="36" t="n">
        <v>0.122</v>
      </c>
      <c r="I25" s="36" t="n">
        <v>2.89185407653983</v>
      </c>
      <c r="J25" s="36" t="n">
        <v>12.007874015748</v>
      </c>
    </row>
    <row r="26" customFormat="false" ht="15" hidden="false" customHeight="false" outlineLevel="0" collapsed="false">
      <c r="A26" s="18" t="s">
        <v>396</v>
      </c>
      <c r="B26" s="99" t="n">
        <v>1.87</v>
      </c>
      <c r="C26" s="99" t="n">
        <v>2.62</v>
      </c>
      <c r="D26" s="99" t="n">
        <v>1.24</v>
      </c>
      <c r="E26" s="99" t="n">
        <v>-1.18</v>
      </c>
      <c r="F26" s="99" t="n">
        <v>0.53</v>
      </c>
      <c r="G26" s="99" t="n">
        <v>5.08</v>
      </c>
    </row>
    <row r="27" customFormat="false" ht="15" hidden="false" customHeight="false" outlineLevel="0" collapsed="false">
      <c r="A27" s="18" t="s">
        <v>397</v>
      </c>
      <c r="B27" s="99" t="n">
        <v>0.374</v>
      </c>
      <c r="C27" s="99" t="n">
        <v>0.524</v>
      </c>
      <c r="D27" s="99" t="n">
        <v>0.248</v>
      </c>
      <c r="E27" s="99" t="n">
        <v>-0.236</v>
      </c>
      <c r="F27" s="99" t="n">
        <v>0.106</v>
      </c>
    </row>
    <row r="28" customFormat="false" ht="15" hidden="false" customHeight="false" outlineLevel="0" collapsed="false">
      <c r="A28" s="18" t="s">
        <v>398</v>
      </c>
      <c r="B28" s="99" t="n">
        <v>2.7945804694086</v>
      </c>
      <c r="C28" s="99" t="n">
        <v>2.56552723626158</v>
      </c>
      <c r="D28" s="99" t="n">
        <v>2.86449297433246</v>
      </c>
      <c r="E28" s="99" t="n">
        <v>3.1854246184771</v>
      </c>
      <c r="F28" s="99" t="n">
        <v>2.89727112987377</v>
      </c>
    </row>
    <row r="29" customFormat="false" ht="15" hidden="false" customHeight="false" outlineLevel="0" collapsed="false">
      <c r="A29" s="18" t="s">
        <v>394</v>
      </c>
      <c r="B29" s="99" t="n">
        <v>36.8110236220472</v>
      </c>
      <c r="C29" s="99" t="n">
        <v>51.5748031496063</v>
      </c>
      <c r="D29" s="99" t="n">
        <v>24.4094488188976</v>
      </c>
      <c r="E29" s="99" t="n">
        <v>-23.2283464566929</v>
      </c>
      <c r="F29" s="99" t="n">
        <v>10.4330708661417</v>
      </c>
      <c r="G29" s="99" t="n">
        <v>100</v>
      </c>
    </row>
    <row r="30" customFormat="false" ht="15" hidden="false" customHeight="false" outlineLevel="0" collapsed="false">
      <c r="A30" s="18" t="s">
        <v>113</v>
      </c>
      <c r="B30" s="99" t="n">
        <v>35.2362204724409</v>
      </c>
      <c r="C30" s="99" t="n">
        <v>39.7637795275591</v>
      </c>
      <c r="D30" s="99" t="n">
        <v>24.4094488188976</v>
      </c>
      <c r="E30" s="99" t="n">
        <v>-11.4173228346457</v>
      </c>
      <c r="F30" s="99" t="n">
        <v>12.007874015748</v>
      </c>
    </row>
    <row r="31" customFormat="false" ht="15" hidden="false" customHeight="false" outlineLevel="0" collapsed="false">
      <c r="A31" s="18" t="s">
        <v>399</v>
      </c>
      <c r="B31" s="99" t="n">
        <v>1.5748031496063</v>
      </c>
      <c r="C31" s="99" t="n">
        <v>11.8110236220472</v>
      </c>
      <c r="D31" s="99" t="n">
        <v>0</v>
      </c>
      <c r="E31" s="99" t="n">
        <v>-11.8110236220473</v>
      </c>
      <c r="F31" s="99" t="n">
        <v>-1.5748031496063</v>
      </c>
    </row>
    <row r="33" customFormat="false" ht="15" hidden="false" customHeight="false" outlineLevel="0" collapsed="false">
      <c r="A33" s="58" t="s">
        <v>361</v>
      </c>
      <c r="B33" s="58" t="s">
        <v>65</v>
      </c>
      <c r="C33" s="58" t="s">
        <v>71</v>
      </c>
      <c r="D33" s="58" t="s">
        <v>74</v>
      </c>
      <c r="E33" s="58" t="s">
        <v>75</v>
      </c>
      <c r="F33" s="58" t="s">
        <v>70</v>
      </c>
      <c r="G33" s="58" t="s">
        <v>392</v>
      </c>
      <c r="H33" s="58" t="s">
        <v>393</v>
      </c>
      <c r="I33" s="58" t="s">
        <v>261</v>
      </c>
      <c r="J33" s="58" t="s">
        <v>394</v>
      </c>
    </row>
    <row r="34" customFormat="false" ht="15" hidden="false" customHeight="false" outlineLevel="0" collapsed="false">
      <c r="A34" s="18" t="s">
        <v>65</v>
      </c>
      <c r="B34" s="36" t="n">
        <v>3.16</v>
      </c>
      <c r="C34" s="36" t="n">
        <v>-0.27</v>
      </c>
      <c r="D34" s="36" t="n">
        <v>0</v>
      </c>
      <c r="E34" s="36" t="n">
        <v>-2.57</v>
      </c>
      <c r="F34" s="36" t="n">
        <v>-3.21</v>
      </c>
      <c r="G34" s="36" t="n">
        <v>-2.89</v>
      </c>
      <c r="H34" s="36" t="n">
        <v>-0.578</v>
      </c>
      <c r="I34" s="36" t="n">
        <v>2.51481013199804</v>
      </c>
      <c r="J34" s="36" t="n">
        <v>17.7518427518428</v>
      </c>
    </row>
    <row r="35" customFormat="false" ht="15" hidden="false" customHeight="false" outlineLevel="0" collapsed="false">
      <c r="A35" s="18" t="s">
        <v>71</v>
      </c>
      <c r="B35" s="36" t="n">
        <v>-0.27</v>
      </c>
      <c r="C35" s="36" t="n">
        <v>0</v>
      </c>
      <c r="D35" s="36" t="n">
        <v>3.16</v>
      </c>
      <c r="E35" s="36" t="n">
        <v>-3.02</v>
      </c>
      <c r="F35" s="36" t="n">
        <v>-2.57</v>
      </c>
      <c r="G35" s="36" t="n">
        <v>-2.7</v>
      </c>
      <c r="H35" s="36" t="n">
        <v>-0.54</v>
      </c>
      <c r="I35" s="36" t="n">
        <v>2.46605960998513</v>
      </c>
      <c r="J35" s="36" t="n">
        <v>16.5847665847666</v>
      </c>
    </row>
    <row r="36" customFormat="false" ht="15" hidden="false" customHeight="false" outlineLevel="0" collapsed="false">
      <c r="A36" s="18" t="s">
        <v>74</v>
      </c>
      <c r="B36" s="36" t="n">
        <v>0</v>
      </c>
      <c r="C36" s="36" t="n">
        <v>3.16</v>
      </c>
      <c r="D36" s="36" t="n">
        <v>-0.27</v>
      </c>
      <c r="E36" s="36" t="n">
        <v>-3.21</v>
      </c>
      <c r="F36" s="36" t="n">
        <v>-2.72</v>
      </c>
      <c r="G36" s="36" t="n">
        <v>-3.04</v>
      </c>
      <c r="H36" s="36" t="n">
        <v>-0.608</v>
      </c>
      <c r="I36" s="36" t="n">
        <v>2.54522494094334</v>
      </c>
      <c r="J36" s="36" t="n">
        <v>18.6732186732187</v>
      </c>
    </row>
    <row r="37" customFormat="false" ht="15" hidden="false" customHeight="false" outlineLevel="0" collapsed="false">
      <c r="A37" s="18" t="s">
        <v>75</v>
      </c>
      <c r="B37" s="36" t="n">
        <v>-0.63</v>
      </c>
      <c r="C37" s="36" t="n">
        <v>-3.03</v>
      </c>
      <c r="D37" s="36" t="n">
        <v>-3.21</v>
      </c>
      <c r="E37" s="36" t="n">
        <v>3.16</v>
      </c>
      <c r="F37" s="36" t="n">
        <v>-0.27</v>
      </c>
      <c r="G37" s="36" t="n">
        <v>-3.98</v>
      </c>
      <c r="H37" s="36" t="n">
        <v>-0.796</v>
      </c>
      <c r="I37" s="36" t="n">
        <v>2.58709876116085</v>
      </c>
      <c r="J37" s="36" t="n">
        <v>24.4471744471744</v>
      </c>
    </row>
    <row r="38" customFormat="false" ht="15" hidden="false" customHeight="false" outlineLevel="0" collapsed="false">
      <c r="A38" s="18" t="s">
        <v>70</v>
      </c>
      <c r="B38" s="36" t="n">
        <v>-3.21</v>
      </c>
      <c r="C38" s="36" t="n">
        <v>-0.63</v>
      </c>
      <c r="D38" s="36" t="n">
        <v>-2.72</v>
      </c>
      <c r="E38" s="36" t="n">
        <v>-0.27</v>
      </c>
      <c r="F38" s="36" t="n">
        <v>3.16</v>
      </c>
      <c r="G38" s="36" t="n">
        <v>-3.67</v>
      </c>
      <c r="H38" s="36" t="n">
        <v>-0.734</v>
      </c>
      <c r="I38" s="36" t="n">
        <v>2.5230992846101</v>
      </c>
      <c r="J38" s="36" t="n">
        <v>22.5429975429975</v>
      </c>
    </row>
    <row r="39" customFormat="false" ht="15" hidden="false" customHeight="false" outlineLevel="0" collapsed="false">
      <c r="A39" s="18" t="s">
        <v>396</v>
      </c>
      <c r="B39" s="99" t="n">
        <v>-0.95</v>
      </c>
      <c r="C39" s="99" t="n">
        <v>-0.77</v>
      </c>
      <c r="D39" s="99" t="n">
        <v>-3.04</v>
      </c>
      <c r="E39" s="99" t="n">
        <v>-5.91</v>
      </c>
      <c r="F39" s="99" t="n">
        <v>-5.61</v>
      </c>
      <c r="G39" s="99" t="n">
        <v>-16.28</v>
      </c>
    </row>
    <row r="40" customFormat="false" ht="15" hidden="false" customHeight="false" outlineLevel="0" collapsed="false">
      <c r="A40" s="18" t="s">
        <v>397</v>
      </c>
      <c r="B40" s="99" t="n">
        <v>-0.19</v>
      </c>
      <c r="C40" s="99" t="n">
        <v>-0.154</v>
      </c>
      <c r="D40" s="99" t="n">
        <v>-0.608</v>
      </c>
      <c r="E40" s="99" t="n">
        <v>-1.182</v>
      </c>
      <c r="F40" s="99" t="n">
        <v>-1.122</v>
      </c>
    </row>
    <row r="41" customFormat="false" ht="15" hidden="false" customHeight="false" outlineLevel="0" collapsed="false">
      <c r="A41" s="18" t="s">
        <v>398</v>
      </c>
      <c r="B41" s="99" t="n">
        <v>2.26820413543402</v>
      </c>
      <c r="C41" s="99" t="n">
        <v>2.20894318623182</v>
      </c>
      <c r="D41" s="99" t="n">
        <v>2.54522494094334</v>
      </c>
      <c r="E41" s="99" t="n">
        <v>2.69732645410228</v>
      </c>
      <c r="F41" s="99" t="n">
        <v>2.64912627105618</v>
      </c>
    </row>
    <row r="42" customFormat="false" ht="15" hidden="false" customHeight="false" outlineLevel="0" collapsed="false">
      <c r="A42" s="18" t="s">
        <v>394</v>
      </c>
      <c r="B42" s="99" t="n">
        <v>5.83538083538084</v>
      </c>
      <c r="C42" s="99" t="n">
        <v>4.72972972972973</v>
      </c>
      <c r="D42" s="99" t="n">
        <v>18.6732186732187</v>
      </c>
      <c r="E42" s="99" t="n">
        <v>36.3022113022113</v>
      </c>
      <c r="F42" s="99" t="n">
        <v>34.4594594594595</v>
      </c>
      <c r="G42" s="99" t="n">
        <v>100</v>
      </c>
    </row>
    <row r="43" customFormat="false" ht="15" hidden="false" customHeight="false" outlineLevel="0" collapsed="false">
      <c r="A43" s="18" t="s">
        <v>113</v>
      </c>
      <c r="B43" s="99" t="n">
        <v>17.7518427518428</v>
      </c>
      <c r="C43" s="99" t="n">
        <v>16.5847665847666</v>
      </c>
      <c r="D43" s="99" t="n">
        <v>18.6732186732187</v>
      </c>
      <c r="E43" s="99" t="n">
        <v>24.4471744471744</v>
      </c>
      <c r="F43" s="99" t="n">
        <v>22.5429975429975</v>
      </c>
    </row>
    <row r="44" customFormat="false" ht="15" hidden="false" customHeight="false" outlineLevel="0" collapsed="false">
      <c r="A44" s="18" t="s">
        <v>399</v>
      </c>
      <c r="B44" s="99" t="n">
        <v>-11.9164619164619</v>
      </c>
      <c r="C44" s="99" t="n">
        <v>-11.8550368550369</v>
      </c>
      <c r="D44" s="99" t="n">
        <v>0</v>
      </c>
      <c r="E44" s="99" t="n">
        <v>11.8550368550369</v>
      </c>
      <c r="F44" s="99" t="n">
        <v>11.9164619164619</v>
      </c>
    </row>
    <row r="46" customFormat="false" ht="15" hidden="false" customHeight="false" outlineLevel="0" collapsed="false">
      <c r="A46" s="58" t="s">
        <v>362</v>
      </c>
      <c r="B46" s="58" t="s">
        <v>65</v>
      </c>
      <c r="C46" s="58" t="s">
        <v>71</v>
      </c>
      <c r="D46" s="58" t="s">
        <v>74</v>
      </c>
      <c r="E46" s="58" t="s">
        <v>75</v>
      </c>
      <c r="F46" s="58" t="s">
        <v>70</v>
      </c>
      <c r="G46" s="58" t="s">
        <v>392</v>
      </c>
      <c r="H46" s="58" t="s">
        <v>393</v>
      </c>
      <c r="I46" s="58" t="s">
        <v>261</v>
      </c>
      <c r="J46" s="58" t="s">
        <v>394</v>
      </c>
    </row>
    <row r="47" customFormat="false" ht="15" hidden="false" customHeight="false" outlineLevel="0" collapsed="false">
      <c r="A47" s="18" t="s">
        <v>65</v>
      </c>
      <c r="B47" s="36" t="n">
        <v>3.16</v>
      </c>
      <c r="C47" s="36" t="n">
        <v>-0.27</v>
      </c>
      <c r="D47" s="36" t="n">
        <v>0</v>
      </c>
      <c r="E47" s="36" t="n">
        <v>-0.71</v>
      </c>
      <c r="F47" s="36" t="n">
        <v>-3.21</v>
      </c>
      <c r="G47" s="36" t="n">
        <v>-1.03</v>
      </c>
      <c r="H47" s="36" t="n">
        <v>-0.206</v>
      </c>
      <c r="I47" s="36" t="n">
        <v>2.27236220704359</v>
      </c>
      <c r="J47" s="36" t="n">
        <v>6.21980676328502</v>
      </c>
    </row>
    <row r="48" customFormat="false" ht="15" hidden="false" customHeight="false" outlineLevel="0" collapsed="false">
      <c r="A48" s="18" t="s">
        <v>71</v>
      </c>
      <c r="B48" s="36" t="n">
        <v>-0.27</v>
      </c>
      <c r="C48" s="36" t="n">
        <v>0</v>
      </c>
      <c r="D48" s="36" t="n">
        <v>3.16</v>
      </c>
      <c r="E48" s="36" t="n">
        <v>-3.02</v>
      </c>
      <c r="F48" s="36" t="n">
        <v>-0.71</v>
      </c>
      <c r="G48" s="36" t="n">
        <v>-0.84</v>
      </c>
      <c r="H48" s="36" t="n">
        <v>-0.168</v>
      </c>
      <c r="I48" s="36" t="n">
        <v>2.21030993301844</v>
      </c>
      <c r="J48" s="36" t="n">
        <v>5.07246376811594</v>
      </c>
    </row>
    <row r="49" customFormat="false" ht="15" hidden="false" customHeight="false" outlineLevel="0" collapsed="false">
      <c r="A49" s="18" t="s">
        <v>74</v>
      </c>
      <c r="B49" s="36" t="n">
        <v>0</v>
      </c>
      <c r="C49" s="36" t="n">
        <v>3.16</v>
      </c>
      <c r="D49" s="36" t="n">
        <v>-0.27</v>
      </c>
      <c r="E49" s="36" t="n">
        <v>-3.21</v>
      </c>
      <c r="F49" s="36" t="n">
        <v>-2.72</v>
      </c>
      <c r="G49" s="36" t="n">
        <v>-3.04</v>
      </c>
      <c r="H49" s="36" t="n">
        <v>-0.608</v>
      </c>
      <c r="I49" s="36" t="n">
        <v>2.54522494094334</v>
      </c>
      <c r="J49" s="36" t="n">
        <v>18.3574879227053</v>
      </c>
    </row>
    <row r="50" customFormat="false" ht="15" hidden="false" customHeight="false" outlineLevel="0" collapsed="false">
      <c r="A50" s="18" t="s">
        <v>75</v>
      </c>
      <c r="B50" s="36" t="n">
        <v>-2.7</v>
      </c>
      <c r="C50" s="36" t="n">
        <v>-2.92</v>
      </c>
      <c r="D50" s="36" t="n">
        <v>-3.22</v>
      </c>
      <c r="E50" s="36" t="n">
        <v>3.16</v>
      </c>
      <c r="F50" s="36" t="n">
        <v>-0.27</v>
      </c>
      <c r="G50" s="36" t="n">
        <v>-5.95</v>
      </c>
      <c r="H50" s="36" t="n">
        <v>-1.19</v>
      </c>
      <c r="I50" s="36" t="n">
        <v>2.70012962651796</v>
      </c>
      <c r="J50" s="36" t="n">
        <v>35.9299516908213</v>
      </c>
    </row>
    <row r="51" customFormat="false" ht="15" hidden="false" customHeight="false" outlineLevel="0" collapsed="false">
      <c r="A51" s="18" t="s">
        <v>70</v>
      </c>
      <c r="B51" s="36" t="n">
        <v>-3.21</v>
      </c>
      <c r="C51" s="36" t="n">
        <v>-2.55</v>
      </c>
      <c r="D51" s="36" t="n">
        <v>-2.83</v>
      </c>
      <c r="E51" s="36" t="n">
        <v>-0.27</v>
      </c>
      <c r="F51" s="36" t="n">
        <v>3.16</v>
      </c>
      <c r="G51" s="36" t="n">
        <v>-5.7</v>
      </c>
      <c r="H51" s="36" t="n">
        <v>-1.14</v>
      </c>
      <c r="I51" s="36" t="n">
        <v>2.66345640099477</v>
      </c>
      <c r="J51" s="36" t="n">
        <v>34.4202898550725</v>
      </c>
    </row>
    <row r="52" customFormat="false" ht="15" hidden="false" customHeight="false" outlineLevel="0" collapsed="false">
      <c r="A52" s="18" t="s">
        <v>396</v>
      </c>
      <c r="B52" s="99" t="n">
        <v>-3.02</v>
      </c>
      <c r="C52" s="99" t="n">
        <v>-2.58</v>
      </c>
      <c r="D52" s="99" t="n">
        <v>-3.16</v>
      </c>
      <c r="E52" s="99" t="n">
        <v>-4.05</v>
      </c>
      <c r="F52" s="99" t="n">
        <v>-3.75</v>
      </c>
      <c r="G52" s="99" t="n">
        <v>-16.56</v>
      </c>
    </row>
    <row r="53" customFormat="false" ht="15" hidden="false" customHeight="false" outlineLevel="0" collapsed="false">
      <c r="A53" s="18" t="s">
        <v>397</v>
      </c>
      <c r="B53" s="99" t="n">
        <v>-0.604</v>
      </c>
      <c r="C53" s="99" t="n">
        <v>-0.516</v>
      </c>
      <c r="D53" s="99" t="n">
        <v>-0.632</v>
      </c>
      <c r="E53" s="99" t="n">
        <v>-0.81</v>
      </c>
      <c r="F53" s="99" t="n">
        <v>-0.75</v>
      </c>
    </row>
    <row r="54" customFormat="false" ht="15" hidden="false" customHeight="false" outlineLevel="0" collapsed="false">
      <c r="A54" s="18" t="s">
        <v>398</v>
      </c>
      <c r="B54" s="99" t="n">
        <v>2.54108834950696</v>
      </c>
      <c r="C54" s="99" t="n">
        <v>2.43701251535564</v>
      </c>
      <c r="D54" s="99" t="n">
        <v>2.57092784807353</v>
      </c>
      <c r="E54" s="99" t="n">
        <v>2.58392143843423</v>
      </c>
      <c r="F54" s="99" t="n">
        <v>2.52252849339705</v>
      </c>
    </row>
    <row r="55" customFormat="false" ht="15" hidden="false" customHeight="false" outlineLevel="0" collapsed="false">
      <c r="A55" s="18" t="s">
        <v>394</v>
      </c>
      <c r="B55" s="99" t="n">
        <v>18.2367149758454</v>
      </c>
      <c r="C55" s="99" t="n">
        <v>15.5797101449275</v>
      </c>
      <c r="D55" s="99" t="n">
        <v>19.0821256038647</v>
      </c>
      <c r="E55" s="99" t="n">
        <v>24.4565217391304</v>
      </c>
      <c r="F55" s="99" t="n">
        <v>22.6449275362319</v>
      </c>
      <c r="G55" s="99" t="n">
        <v>100</v>
      </c>
    </row>
    <row r="56" customFormat="false" ht="15" hidden="false" customHeight="false" outlineLevel="0" collapsed="false">
      <c r="A56" s="18" t="s">
        <v>113</v>
      </c>
      <c r="B56" s="99" t="n">
        <v>6.21980676328502</v>
      </c>
      <c r="C56" s="99" t="n">
        <v>5.07246376811594</v>
      </c>
      <c r="D56" s="99" t="n">
        <v>18.3574879227053</v>
      </c>
      <c r="E56" s="99" t="n">
        <v>35.9299516908213</v>
      </c>
      <c r="F56" s="99" t="n">
        <v>34.4202898550725</v>
      </c>
    </row>
    <row r="57" customFormat="false" ht="15" hidden="false" customHeight="false" outlineLevel="0" collapsed="false">
      <c r="A57" s="18" t="s">
        <v>399</v>
      </c>
      <c r="B57" s="99" t="n">
        <v>12.0169082125604</v>
      </c>
      <c r="C57" s="99" t="n">
        <v>10.5072463768116</v>
      </c>
      <c r="D57" s="99" t="n">
        <v>0.724637681159422</v>
      </c>
      <c r="E57" s="99" t="n">
        <v>-11.4734299516908</v>
      </c>
      <c r="F57" s="99" t="n">
        <v>-11.7753623188406</v>
      </c>
    </row>
    <row r="59" customFormat="false" ht="15" hidden="false" customHeight="false" outlineLevel="0" collapsed="false">
      <c r="A59" s="58" t="s">
        <v>363</v>
      </c>
      <c r="B59" s="58" t="s">
        <v>65</v>
      </c>
      <c r="C59" s="58" t="s">
        <v>71</v>
      </c>
      <c r="D59" s="58" t="s">
        <v>74</v>
      </c>
      <c r="E59" s="58" t="s">
        <v>75</v>
      </c>
      <c r="F59" s="58" t="s">
        <v>70</v>
      </c>
      <c r="G59" s="58" t="s">
        <v>392</v>
      </c>
      <c r="H59" s="58" t="s">
        <v>393</v>
      </c>
      <c r="I59" s="58" t="s">
        <v>261</v>
      </c>
      <c r="J59" s="58" t="s">
        <v>394</v>
      </c>
    </row>
    <row r="60" customFormat="false" ht="15" hidden="false" customHeight="false" outlineLevel="0" collapsed="false">
      <c r="A60" s="18" t="s">
        <v>65</v>
      </c>
      <c r="B60" s="36" t="n">
        <v>4.44</v>
      </c>
      <c r="C60" s="36" t="n">
        <v>1.26</v>
      </c>
      <c r="D60" s="36" t="n">
        <v>0</v>
      </c>
      <c r="E60" s="36" t="n">
        <v>-0.71</v>
      </c>
      <c r="F60" s="36" t="n">
        <v>-3.2</v>
      </c>
      <c r="G60" s="36" t="n">
        <v>1.79</v>
      </c>
      <c r="H60" s="36" t="n">
        <v>0.358</v>
      </c>
      <c r="I60" s="36" t="n">
        <v>2.80198501066655</v>
      </c>
      <c r="J60" s="36" t="n">
        <v>36.2348178137652</v>
      </c>
    </row>
    <row r="61" customFormat="false" ht="15" hidden="false" customHeight="false" outlineLevel="0" collapsed="false">
      <c r="A61" s="18" t="s">
        <v>71</v>
      </c>
      <c r="B61" s="36" t="n">
        <v>1.26</v>
      </c>
      <c r="C61" s="36" t="n">
        <v>0</v>
      </c>
      <c r="D61" s="36" t="n">
        <v>4.44</v>
      </c>
      <c r="E61" s="36" t="n">
        <v>-2.69</v>
      </c>
      <c r="F61" s="36" t="n">
        <v>-0.71</v>
      </c>
      <c r="G61" s="36" t="n">
        <v>2.3</v>
      </c>
      <c r="H61" s="36" t="n">
        <v>0.46</v>
      </c>
      <c r="I61" s="36" t="n">
        <v>2.64496691850768</v>
      </c>
      <c r="J61" s="36" t="n">
        <v>46.5587044534413</v>
      </c>
    </row>
    <row r="62" customFormat="false" ht="15" hidden="false" customHeight="false" outlineLevel="0" collapsed="false">
      <c r="A62" s="18" t="s">
        <v>74</v>
      </c>
      <c r="B62" s="36" t="n">
        <v>0</v>
      </c>
      <c r="C62" s="36" t="n">
        <v>4.44</v>
      </c>
      <c r="D62" s="36" t="n">
        <v>1.26</v>
      </c>
      <c r="E62" s="36" t="n">
        <v>-3.2</v>
      </c>
      <c r="F62" s="36" t="n">
        <v>-1.26</v>
      </c>
      <c r="G62" s="36" t="n">
        <v>1.24</v>
      </c>
      <c r="H62" s="36" t="n">
        <v>0.248</v>
      </c>
      <c r="I62" s="36" t="n">
        <v>2.86449297433246</v>
      </c>
      <c r="J62" s="36" t="n">
        <v>25.1012145748988</v>
      </c>
    </row>
    <row r="63" customFormat="false" ht="15" hidden="false" customHeight="false" outlineLevel="0" collapsed="false">
      <c r="A63" s="18" t="s">
        <v>75</v>
      </c>
      <c r="B63" s="36" t="n">
        <v>-0.63</v>
      </c>
      <c r="C63" s="36" t="n">
        <v>-2.86</v>
      </c>
      <c r="D63" s="36" t="n">
        <v>-3.21</v>
      </c>
      <c r="E63" s="36" t="n">
        <v>4.44</v>
      </c>
      <c r="F63" s="36" t="n">
        <v>1.26</v>
      </c>
      <c r="G63" s="36" t="n">
        <v>-0.999999999999999</v>
      </c>
      <c r="H63" s="36" t="n">
        <v>-0.2</v>
      </c>
      <c r="I63" s="36" t="n">
        <v>3.16155816014825</v>
      </c>
      <c r="J63" s="36" t="n">
        <v>-20.2429149797571</v>
      </c>
    </row>
    <row r="64" customFormat="false" ht="15" hidden="false" customHeight="false" outlineLevel="0" collapsed="false">
      <c r="A64" s="18" t="s">
        <v>70</v>
      </c>
      <c r="B64" s="36" t="n">
        <v>-3.2</v>
      </c>
      <c r="C64" s="36" t="n">
        <v>-0.63</v>
      </c>
      <c r="D64" s="36" t="n">
        <v>-1.26</v>
      </c>
      <c r="E64" s="36" t="n">
        <v>1.26</v>
      </c>
      <c r="F64" s="36" t="n">
        <v>4.44</v>
      </c>
      <c r="G64" s="36" t="n">
        <v>0.61</v>
      </c>
      <c r="H64" s="36" t="n">
        <v>0.122</v>
      </c>
      <c r="I64" s="36" t="n">
        <v>2.89185407653983</v>
      </c>
      <c r="J64" s="36" t="n">
        <v>12.3481781376518</v>
      </c>
    </row>
    <row r="65" customFormat="false" ht="15" hidden="false" customHeight="false" outlineLevel="0" collapsed="false">
      <c r="A65" s="18" t="s">
        <v>396</v>
      </c>
      <c r="B65" s="99" t="n">
        <v>1.87</v>
      </c>
      <c r="C65" s="99" t="n">
        <v>2.21</v>
      </c>
      <c r="D65" s="99" t="n">
        <v>1.23</v>
      </c>
      <c r="E65" s="99" t="n">
        <v>-0.899999999999999</v>
      </c>
      <c r="F65" s="99" t="n">
        <v>0.53</v>
      </c>
      <c r="G65" s="99" t="n">
        <v>4.94</v>
      </c>
    </row>
    <row r="66" customFormat="false" ht="15" hidden="false" customHeight="false" outlineLevel="0" collapsed="false">
      <c r="A66" s="18" t="s">
        <v>397</v>
      </c>
      <c r="B66" s="99" t="n">
        <v>0.374</v>
      </c>
      <c r="C66" s="99" t="n">
        <v>0.442</v>
      </c>
      <c r="D66" s="99" t="n">
        <v>0.246</v>
      </c>
      <c r="E66" s="99" t="n">
        <v>-0.18</v>
      </c>
      <c r="F66" s="99" t="n">
        <v>0.106</v>
      </c>
    </row>
    <row r="67" customFormat="false" ht="15" hidden="false" customHeight="false" outlineLevel="0" collapsed="false">
      <c r="A67" s="18" t="s">
        <v>398</v>
      </c>
      <c r="B67" s="99" t="n">
        <v>2.7945804694086</v>
      </c>
      <c r="C67" s="99" t="n">
        <v>2.68797693442485</v>
      </c>
      <c r="D67" s="99" t="n">
        <v>2.86750414123502</v>
      </c>
      <c r="E67" s="99" t="n">
        <v>3.12727517177494</v>
      </c>
      <c r="F67" s="99" t="n">
        <v>2.89727112987377</v>
      </c>
    </row>
    <row r="68" customFormat="false" ht="15" hidden="false" customHeight="false" outlineLevel="0" collapsed="false">
      <c r="A68" s="18" t="s">
        <v>394</v>
      </c>
      <c r="B68" s="99" t="n">
        <v>37.8542510121457</v>
      </c>
      <c r="C68" s="99" t="n">
        <v>44.7368421052632</v>
      </c>
      <c r="D68" s="99" t="n">
        <v>24.8987854251012</v>
      </c>
      <c r="E68" s="99" t="n">
        <v>-18.2186234817814</v>
      </c>
      <c r="F68" s="99" t="n">
        <v>10.7287449392713</v>
      </c>
      <c r="G68" s="99" t="n">
        <v>100</v>
      </c>
    </row>
    <row r="69" customFormat="false" ht="15" hidden="false" customHeight="false" outlineLevel="0" collapsed="false">
      <c r="A69" s="18" t="s">
        <v>113</v>
      </c>
      <c r="B69" s="99" t="n">
        <v>36.2348178137652</v>
      </c>
      <c r="C69" s="99" t="n">
        <v>46.5587044534413</v>
      </c>
      <c r="D69" s="99" t="n">
        <v>25.1012145748988</v>
      </c>
      <c r="E69" s="99" t="n">
        <v>-20.2429149797571</v>
      </c>
      <c r="F69" s="99" t="n">
        <v>12.3481781376518</v>
      </c>
    </row>
    <row r="70" customFormat="false" ht="15" hidden="false" customHeight="false" outlineLevel="0" collapsed="false">
      <c r="A70" s="18" t="s">
        <v>399</v>
      </c>
      <c r="B70" s="99" t="n">
        <v>1.61943319838056</v>
      </c>
      <c r="C70" s="99" t="n">
        <v>-1.82186234817814</v>
      </c>
      <c r="D70" s="99" t="n">
        <v>-0.202429149797563</v>
      </c>
      <c r="E70" s="99" t="n">
        <v>2.0242914979757</v>
      </c>
      <c r="F70" s="99" t="n">
        <v>-1.61943319838057</v>
      </c>
    </row>
    <row r="72" customFormat="false" ht="15" hidden="false" customHeight="false" outlineLevel="0" collapsed="false">
      <c r="A72" s="96" t="s">
        <v>400</v>
      </c>
      <c r="L72" s="97" t="s">
        <v>401</v>
      </c>
      <c r="M72" s="97"/>
      <c r="N72" s="97"/>
      <c r="O72" s="97"/>
      <c r="P72" s="97"/>
    </row>
    <row r="74" customFormat="false" ht="15" hidden="false" customHeight="false" outlineLevel="0" collapsed="false">
      <c r="A74" s="58" t="s">
        <v>364</v>
      </c>
      <c r="B74" s="58" t="s">
        <v>65</v>
      </c>
      <c r="C74" s="58" t="s">
        <v>71</v>
      </c>
      <c r="D74" s="58" t="s">
        <v>74</v>
      </c>
      <c r="E74" s="58" t="s">
        <v>75</v>
      </c>
      <c r="F74" s="58" t="s">
        <v>70</v>
      </c>
      <c r="G74" s="58" t="s">
        <v>392</v>
      </c>
      <c r="H74" s="58" t="s">
        <v>393</v>
      </c>
      <c r="I74" s="58" t="s">
        <v>261</v>
      </c>
      <c r="J74" s="58" t="s">
        <v>394</v>
      </c>
      <c r="L74" s="98" t="s">
        <v>395</v>
      </c>
      <c r="M74" s="98" t="s">
        <v>392</v>
      </c>
      <c r="N74" s="98" t="s">
        <v>393</v>
      </c>
      <c r="O74" s="98" t="s">
        <v>261</v>
      </c>
      <c r="P74" s="98" t="s">
        <v>394</v>
      </c>
    </row>
    <row r="75" customFormat="false" ht="15" hidden="false" customHeight="false" outlineLevel="0" collapsed="false">
      <c r="A75" s="18" t="s">
        <v>65</v>
      </c>
      <c r="B75" s="36" t="n">
        <v>7.6</v>
      </c>
      <c r="C75" s="36" t="n">
        <v>0.99</v>
      </c>
      <c r="D75" s="36" t="n">
        <v>0</v>
      </c>
      <c r="E75" s="36" t="n">
        <v>-3.28</v>
      </c>
      <c r="F75" s="36" t="n">
        <v>-6.41</v>
      </c>
      <c r="G75" s="36" t="n">
        <v>-1.1</v>
      </c>
      <c r="H75" s="36" t="n">
        <v>-0.22</v>
      </c>
      <c r="I75" s="36" t="n">
        <v>5.25225189799575</v>
      </c>
      <c r="J75" s="36" t="n">
        <v>9.82142857142857</v>
      </c>
      <c r="L75" s="18" t="s">
        <v>364</v>
      </c>
      <c r="M75" s="36" t="n">
        <v>-11.2</v>
      </c>
      <c r="N75" s="36" t="n">
        <v>-0.448</v>
      </c>
      <c r="O75" s="36" t="n">
        <v>4.79715999316262</v>
      </c>
      <c r="P75" s="36" t="n">
        <v>-24.5398773006135</v>
      </c>
    </row>
    <row r="76" customFormat="false" ht="15" hidden="false" customHeight="false" outlineLevel="0" collapsed="false">
      <c r="A76" s="18" t="s">
        <v>71</v>
      </c>
      <c r="B76" s="36" t="n">
        <v>0.99</v>
      </c>
      <c r="C76" s="36" t="n">
        <v>0</v>
      </c>
      <c r="D76" s="36" t="n">
        <v>7.6</v>
      </c>
      <c r="E76" s="36" t="n">
        <v>-5.99</v>
      </c>
      <c r="F76" s="36" t="n">
        <v>-3.28</v>
      </c>
      <c r="G76" s="36" t="n">
        <v>-0.68</v>
      </c>
      <c r="H76" s="36" t="n">
        <v>-0.136</v>
      </c>
      <c r="I76" s="36" t="n">
        <v>5.13045124721013</v>
      </c>
      <c r="J76" s="36" t="n">
        <v>6.07142857142857</v>
      </c>
      <c r="L76" s="18" t="s">
        <v>365</v>
      </c>
      <c r="M76" s="36" t="n">
        <v>-11.62</v>
      </c>
      <c r="N76" s="36" t="n">
        <v>-0.4648</v>
      </c>
      <c r="O76" s="36" t="n">
        <v>4.80301498644341</v>
      </c>
      <c r="P76" s="36" t="n">
        <v>-25.4601226993865</v>
      </c>
    </row>
    <row r="77" customFormat="false" ht="15" hidden="false" customHeight="false" outlineLevel="0" collapsed="false">
      <c r="A77" s="18" t="s">
        <v>74</v>
      </c>
      <c r="B77" s="36" t="n">
        <v>0</v>
      </c>
      <c r="C77" s="36" t="n">
        <v>7.6</v>
      </c>
      <c r="D77" s="36" t="n">
        <v>0.99</v>
      </c>
      <c r="E77" s="36" t="n">
        <v>-6.41</v>
      </c>
      <c r="F77" s="36" t="n">
        <v>-3.98</v>
      </c>
      <c r="G77" s="36" t="n">
        <v>-1.8</v>
      </c>
      <c r="H77" s="36" t="n">
        <v>-0.36</v>
      </c>
      <c r="I77" s="36" t="n">
        <v>5.36238286585358</v>
      </c>
      <c r="J77" s="36" t="n">
        <v>16.0714285714286</v>
      </c>
      <c r="L77" s="18" t="s">
        <v>366</v>
      </c>
      <c r="M77" s="36" t="n">
        <v>-22.82</v>
      </c>
      <c r="N77" s="36" t="n">
        <v>-0.9128</v>
      </c>
      <c r="O77" s="36" t="n">
        <v>9.56874182742956</v>
      </c>
      <c r="P77" s="36" t="n">
        <v>-50</v>
      </c>
    </row>
    <row r="78" customFormat="false" ht="15" hidden="false" customHeight="false" outlineLevel="0" collapsed="false">
      <c r="A78" s="18" t="s">
        <v>75</v>
      </c>
      <c r="B78" s="36" t="n">
        <v>-1.26</v>
      </c>
      <c r="C78" s="36" t="n">
        <v>-5.48</v>
      </c>
      <c r="D78" s="36" t="n">
        <v>-6.41</v>
      </c>
      <c r="E78" s="36" t="n">
        <v>7.6</v>
      </c>
      <c r="F78" s="36" t="n">
        <v>0.99</v>
      </c>
      <c r="G78" s="36" t="n">
        <v>-4.56</v>
      </c>
      <c r="H78" s="36" t="n">
        <v>-0.912</v>
      </c>
      <c r="I78" s="36" t="n">
        <v>5.64108766108097</v>
      </c>
      <c r="J78" s="36" t="n">
        <v>40.7142857142857</v>
      </c>
    </row>
    <row r="79" customFormat="false" ht="15" hidden="false" customHeight="false" outlineLevel="0" collapsed="false">
      <c r="A79" s="18" t="s">
        <v>70</v>
      </c>
      <c r="B79" s="36" t="n">
        <v>-6.41</v>
      </c>
      <c r="C79" s="36" t="n">
        <v>-1.26</v>
      </c>
      <c r="D79" s="36" t="n">
        <v>-3.98</v>
      </c>
      <c r="E79" s="36" t="n">
        <v>0.99</v>
      </c>
      <c r="F79" s="36" t="n">
        <v>7.6</v>
      </c>
      <c r="G79" s="36" t="n">
        <v>-3.06</v>
      </c>
      <c r="H79" s="36" t="n">
        <v>-0.612</v>
      </c>
      <c r="I79" s="36" t="n">
        <v>5.37083513059189</v>
      </c>
      <c r="J79" s="36" t="n">
        <v>27.3214285714286</v>
      </c>
    </row>
    <row r="80" customFormat="false" ht="15" hidden="false" customHeight="false" outlineLevel="0" collapsed="false">
      <c r="A80" s="18" t="s">
        <v>396</v>
      </c>
      <c r="B80" s="99" t="n">
        <v>0.92</v>
      </c>
      <c r="C80" s="99" t="n">
        <v>1.85</v>
      </c>
      <c r="D80" s="99" t="n">
        <v>-1.8</v>
      </c>
      <c r="E80" s="99" t="n">
        <v>-7.09</v>
      </c>
      <c r="F80" s="99" t="n">
        <v>-5.08</v>
      </c>
      <c r="G80" s="99" t="n">
        <v>-11.2</v>
      </c>
    </row>
    <row r="81" customFormat="false" ht="15" hidden="false" customHeight="false" outlineLevel="0" collapsed="false">
      <c r="A81" s="18" t="s">
        <v>397</v>
      </c>
      <c r="B81" s="99" t="n">
        <v>0.184</v>
      </c>
      <c r="C81" s="99" t="n">
        <v>0.37</v>
      </c>
      <c r="D81" s="99" t="n">
        <v>-0.36</v>
      </c>
      <c r="E81" s="99" t="n">
        <v>-1.418</v>
      </c>
      <c r="F81" s="99" t="n">
        <v>-1.016</v>
      </c>
    </row>
    <row r="82" customFormat="false" ht="15" hidden="false" customHeight="false" outlineLevel="0" collapsed="false">
      <c r="A82" s="18" t="s">
        <v>398</v>
      </c>
      <c r="B82" s="99" t="n">
        <v>5.03106648733646</v>
      </c>
      <c r="C82" s="99" t="n">
        <v>4.73480728224497</v>
      </c>
      <c r="D82" s="99" t="n">
        <v>5.36238286585358</v>
      </c>
      <c r="E82" s="99" t="n">
        <v>5.83980051029143</v>
      </c>
      <c r="F82" s="99" t="n">
        <v>5.50603577903377</v>
      </c>
    </row>
    <row r="83" customFormat="false" ht="15" hidden="false" customHeight="false" outlineLevel="0" collapsed="false">
      <c r="A83" s="18" t="s">
        <v>394</v>
      </c>
      <c r="B83" s="99" t="n">
        <v>-8.21428571428571</v>
      </c>
      <c r="C83" s="99" t="n">
        <v>-16.5178571428571</v>
      </c>
      <c r="D83" s="99" t="n">
        <v>16.0714285714286</v>
      </c>
      <c r="E83" s="99" t="n">
        <v>63.3035714285714</v>
      </c>
      <c r="F83" s="99" t="n">
        <v>45.3571428571429</v>
      </c>
      <c r="G83" s="99" t="n">
        <v>100</v>
      </c>
    </row>
    <row r="84" customFormat="false" ht="15" hidden="false" customHeight="false" outlineLevel="0" collapsed="false">
      <c r="A84" s="18" t="s">
        <v>113</v>
      </c>
      <c r="B84" s="99" t="n">
        <v>9.82142857142857</v>
      </c>
      <c r="C84" s="99" t="n">
        <v>6.07142857142857</v>
      </c>
      <c r="D84" s="99" t="n">
        <v>16.0714285714286</v>
      </c>
      <c r="E84" s="99" t="n">
        <v>40.7142857142857</v>
      </c>
      <c r="F84" s="99" t="n">
        <v>27.3214285714286</v>
      </c>
    </row>
    <row r="85" customFormat="false" ht="15" hidden="false" customHeight="false" outlineLevel="0" collapsed="false">
      <c r="A85" s="18" t="s">
        <v>399</v>
      </c>
      <c r="B85" s="99" t="n">
        <v>-18.0357142857143</v>
      </c>
      <c r="C85" s="99" t="n">
        <v>-22.5892857142857</v>
      </c>
      <c r="D85" s="99" t="n">
        <v>0</v>
      </c>
      <c r="E85" s="99" t="n">
        <v>22.5892857142857</v>
      </c>
      <c r="F85" s="99" t="n">
        <v>18.0357142857143</v>
      </c>
    </row>
    <row r="87" customFormat="false" ht="15" hidden="false" customHeight="false" outlineLevel="0" collapsed="false">
      <c r="A87" s="58" t="s">
        <v>365</v>
      </c>
      <c r="B87" s="58" t="s">
        <v>65</v>
      </c>
      <c r="C87" s="58" t="s">
        <v>71</v>
      </c>
      <c r="D87" s="58" t="s">
        <v>74</v>
      </c>
      <c r="E87" s="58" t="s">
        <v>75</v>
      </c>
      <c r="F87" s="58" t="s">
        <v>70</v>
      </c>
      <c r="G87" s="58" t="s">
        <v>392</v>
      </c>
      <c r="H87" s="58" t="s">
        <v>393</v>
      </c>
      <c r="I87" s="58" t="s">
        <v>261</v>
      </c>
      <c r="J87" s="58" t="s">
        <v>394</v>
      </c>
    </row>
    <row r="88" customFormat="false" ht="15" hidden="false" customHeight="false" outlineLevel="0" collapsed="false">
      <c r="A88" s="18" t="s">
        <v>65</v>
      </c>
      <c r="B88" s="36" t="n">
        <v>7.6</v>
      </c>
      <c r="C88" s="36" t="n">
        <v>0.99</v>
      </c>
      <c r="D88" s="36" t="n">
        <v>0</v>
      </c>
      <c r="E88" s="36" t="n">
        <v>-1.42</v>
      </c>
      <c r="F88" s="36" t="n">
        <v>-6.41</v>
      </c>
      <c r="G88" s="36" t="n">
        <v>0.76</v>
      </c>
      <c r="H88" s="36" t="n">
        <v>0.152</v>
      </c>
      <c r="I88" s="36" t="n">
        <v>5.04304174085442</v>
      </c>
      <c r="J88" s="36" t="n">
        <v>-6.54044750430293</v>
      </c>
    </row>
    <row r="89" customFormat="false" ht="15" hidden="false" customHeight="false" outlineLevel="0" collapsed="false">
      <c r="A89" s="18" t="s">
        <v>71</v>
      </c>
      <c r="B89" s="36" t="n">
        <v>0.99</v>
      </c>
      <c r="C89" s="36" t="n">
        <v>0</v>
      </c>
      <c r="D89" s="36" t="n">
        <v>7.6</v>
      </c>
      <c r="E89" s="36" t="n">
        <v>-5.71</v>
      </c>
      <c r="F89" s="36" t="n">
        <v>-1.42</v>
      </c>
      <c r="G89" s="36" t="n">
        <v>1.46</v>
      </c>
      <c r="H89" s="36" t="n">
        <v>0.292</v>
      </c>
      <c r="I89" s="36" t="n">
        <v>4.82012136776658</v>
      </c>
      <c r="J89" s="36" t="n">
        <v>-12.5645438898451</v>
      </c>
    </row>
    <row r="90" customFormat="false" ht="15" hidden="false" customHeight="false" outlineLevel="0" collapsed="false">
      <c r="A90" s="18" t="s">
        <v>74</v>
      </c>
      <c r="B90" s="36" t="n">
        <v>0</v>
      </c>
      <c r="C90" s="36" t="n">
        <v>7.6</v>
      </c>
      <c r="D90" s="36" t="n">
        <v>0.99</v>
      </c>
      <c r="E90" s="36" t="n">
        <v>-6.41</v>
      </c>
      <c r="F90" s="36" t="n">
        <v>-3.98</v>
      </c>
      <c r="G90" s="36" t="n">
        <v>-1.8</v>
      </c>
      <c r="H90" s="36" t="n">
        <v>-0.36</v>
      </c>
      <c r="I90" s="36" t="n">
        <v>5.36238286585358</v>
      </c>
      <c r="J90" s="36" t="n">
        <v>15.4905335628227</v>
      </c>
    </row>
    <row r="91" customFormat="false" ht="15" hidden="false" customHeight="false" outlineLevel="0" collapsed="false">
      <c r="A91" s="18" t="s">
        <v>75</v>
      </c>
      <c r="B91" s="36" t="n">
        <v>-3.33</v>
      </c>
      <c r="C91" s="36" t="n">
        <v>-5.78</v>
      </c>
      <c r="D91" s="36" t="n">
        <v>-6.43</v>
      </c>
      <c r="E91" s="36" t="n">
        <v>7.6</v>
      </c>
      <c r="F91" s="36" t="n">
        <v>0.99</v>
      </c>
      <c r="G91" s="36" t="n">
        <v>-6.95</v>
      </c>
      <c r="H91" s="36" t="n">
        <v>-1.39</v>
      </c>
      <c r="I91" s="36" t="n">
        <v>5.8077921794775</v>
      </c>
      <c r="J91" s="36" t="n">
        <v>59.8106712564544</v>
      </c>
    </row>
    <row r="92" customFormat="false" ht="15" hidden="false" customHeight="false" outlineLevel="0" collapsed="false">
      <c r="A92" s="18" t="s">
        <v>70</v>
      </c>
      <c r="B92" s="36" t="n">
        <v>-6.41</v>
      </c>
      <c r="C92" s="36" t="n">
        <v>-3.18</v>
      </c>
      <c r="D92" s="36" t="n">
        <v>-4.09</v>
      </c>
      <c r="E92" s="36" t="n">
        <v>0.99</v>
      </c>
      <c r="F92" s="36" t="n">
        <v>7.6</v>
      </c>
      <c r="G92" s="36" t="n">
        <v>-5.09</v>
      </c>
      <c r="H92" s="36" t="n">
        <v>-1.018</v>
      </c>
      <c r="I92" s="36" t="n">
        <v>5.51105888192097</v>
      </c>
      <c r="J92" s="36" t="n">
        <v>43.8037865748709</v>
      </c>
    </row>
    <row r="93" customFormat="false" ht="15" hidden="false" customHeight="false" outlineLevel="0" collapsed="false">
      <c r="A93" s="18" t="s">
        <v>396</v>
      </c>
      <c r="B93" s="99" t="n">
        <v>-1.15</v>
      </c>
      <c r="C93" s="99" t="n">
        <v>-0.369999999999999</v>
      </c>
      <c r="D93" s="99" t="n">
        <v>-1.93</v>
      </c>
      <c r="E93" s="99" t="n">
        <v>-4.95</v>
      </c>
      <c r="F93" s="99" t="n">
        <v>-3.22</v>
      </c>
      <c r="G93" s="99" t="n">
        <v>-11.62</v>
      </c>
    </row>
    <row r="94" customFormat="false" ht="15" hidden="false" customHeight="false" outlineLevel="0" collapsed="false">
      <c r="A94" s="18" t="s">
        <v>397</v>
      </c>
      <c r="B94" s="99" t="n">
        <v>-0.23</v>
      </c>
      <c r="C94" s="99" t="n">
        <v>-0.0739999999999998</v>
      </c>
      <c r="D94" s="99" t="n">
        <v>-0.386</v>
      </c>
      <c r="E94" s="99" t="n">
        <v>-0.99</v>
      </c>
      <c r="F94" s="99" t="n">
        <v>-0.644</v>
      </c>
    </row>
    <row r="95" customFormat="false" ht="15" hidden="false" customHeight="false" outlineLevel="0" collapsed="false">
      <c r="A95" s="18" t="s">
        <v>398</v>
      </c>
      <c r="B95" s="99" t="n">
        <v>5.25957697918759</v>
      </c>
      <c r="C95" s="99" t="n">
        <v>5.05552964584325</v>
      </c>
      <c r="D95" s="99" t="n">
        <v>5.38674577087132</v>
      </c>
      <c r="E95" s="99" t="n">
        <v>5.69096213306678</v>
      </c>
      <c r="F95" s="99" t="n">
        <v>5.37613522895397</v>
      </c>
    </row>
    <row r="96" customFormat="false" ht="15" hidden="false" customHeight="false" outlineLevel="0" collapsed="false">
      <c r="A96" s="18" t="s">
        <v>394</v>
      </c>
      <c r="B96" s="99" t="n">
        <v>9.89672977624785</v>
      </c>
      <c r="C96" s="99" t="n">
        <v>3.184165232358</v>
      </c>
      <c r="D96" s="99" t="n">
        <v>16.6092943201377</v>
      </c>
      <c r="E96" s="99" t="n">
        <v>42.5989672977625</v>
      </c>
      <c r="F96" s="99" t="n">
        <v>27.710843373494</v>
      </c>
      <c r="G96" s="99" t="n">
        <v>100</v>
      </c>
    </row>
    <row r="97" customFormat="false" ht="15" hidden="false" customHeight="false" outlineLevel="0" collapsed="false">
      <c r="A97" s="18" t="s">
        <v>113</v>
      </c>
      <c r="B97" s="99" t="n">
        <v>-6.54044750430293</v>
      </c>
      <c r="C97" s="99" t="n">
        <v>-12.5645438898451</v>
      </c>
      <c r="D97" s="99" t="n">
        <v>15.4905335628227</v>
      </c>
      <c r="E97" s="99" t="n">
        <v>59.8106712564544</v>
      </c>
      <c r="F97" s="99" t="n">
        <v>43.8037865748709</v>
      </c>
    </row>
    <row r="98" customFormat="false" ht="15" hidden="false" customHeight="false" outlineLevel="0" collapsed="false">
      <c r="A98" s="18" t="s">
        <v>399</v>
      </c>
      <c r="B98" s="99" t="n">
        <v>16.4371772805508</v>
      </c>
      <c r="C98" s="99" t="n">
        <v>15.7487091222031</v>
      </c>
      <c r="D98" s="99" t="n">
        <v>1.11876075731496</v>
      </c>
      <c r="E98" s="99" t="n">
        <v>-17.2117039586919</v>
      </c>
      <c r="F98" s="99" t="n">
        <v>-16.0929432013769</v>
      </c>
    </row>
    <row r="100" customFormat="false" ht="15" hidden="false" customHeight="false" outlineLevel="0" collapsed="false">
      <c r="A100" s="58" t="s">
        <v>366</v>
      </c>
      <c r="B100" s="58" t="s">
        <v>65</v>
      </c>
      <c r="C100" s="58" t="s">
        <v>71</v>
      </c>
      <c r="D100" s="58" t="s">
        <v>74</v>
      </c>
      <c r="E100" s="58" t="s">
        <v>75</v>
      </c>
      <c r="F100" s="58" t="s">
        <v>70</v>
      </c>
      <c r="G100" s="58" t="s">
        <v>392</v>
      </c>
      <c r="H100" s="58" t="s">
        <v>393</v>
      </c>
      <c r="I100" s="58" t="s">
        <v>261</v>
      </c>
      <c r="J100" s="58" t="s">
        <v>394</v>
      </c>
    </row>
    <row r="101" customFormat="false" ht="15" hidden="false" customHeight="false" outlineLevel="0" collapsed="false">
      <c r="A101" s="18" t="s">
        <v>65</v>
      </c>
      <c r="B101" s="36" t="n">
        <v>15.2</v>
      </c>
      <c r="C101" s="36" t="n">
        <v>1.98</v>
      </c>
      <c r="D101" s="36" t="n">
        <v>0</v>
      </c>
      <c r="E101" s="36" t="n">
        <v>-4.7</v>
      </c>
      <c r="F101" s="36" t="n">
        <v>-12.82</v>
      </c>
      <c r="G101" s="36" t="n">
        <v>-0.34</v>
      </c>
      <c r="H101" s="36" t="n">
        <v>-0.068</v>
      </c>
      <c r="I101" s="36" t="n">
        <v>10.2637673395299</v>
      </c>
      <c r="J101" s="36" t="n">
        <v>1.48992112182296</v>
      </c>
    </row>
    <row r="102" customFormat="false" ht="15" hidden="false" customHeight="false" outlineLevel="0" collapsed="false">
      <c r="A102" s="18" t="s">
        <v>71</v>
      </c>
      <c r="B102" s="36" t="n">
        <v>1.98</v>
      </c>
      <c r="C102" s="36" t="n">
        <v>0</v>
      </c>
      <c r="D102" s="36" t="n">
        <v>15.2</v>
      </c>
      <c r="E102" s="36" t="n">
        <v>-11.7</v>
      </c>
      <c r="F102" s="36" t="n">
        <v>-4.7</v>
      </c>
      <c r="G102" s="36" t="n">
        <v>0.780000000000001</v>
      </c>
      <c r="H102" s="36" t="n">
        <v>0.156</v>
      </c>
      <c r="I102" s="36" t="n">
        <v>9.92243316933906</v>
      </c>
      <c r="J102" s="36" t="n">
        <v>-3.41805433829974</v>
      </c>
    </row>
    <row r="103" customFormat="false" ht="15" hidden="false" customHeight="false" outlineLevel="0" collapsed="false">
      <c r="A103" s="18" t="s">
        <v>74</v>
      </c>
      <c r="B103" s="36" t="n">
        <v>0</v>
      </c>
      <c r="C103" s="36" t="n">
        <v>15.2</v>
      </c>
      <c r="D103" s="36" t="n">
        <v>1.98</v>
      </c>
      <c r="E103" s="36" t="n">
        <v>-12.82</v>
      </c>
      <c r="F103" s="36" t="n">
        <v>-7.96</v>
      </c>
      <c r="G103" s="36" t="n">
        <v>-3.6</v>
      </c>
      <c r="H103" s="36" t="n">
        <v>-0.72</v>
      </c>
      <c r="I103" s="36" t="n">
        <v>10.7247657317072</v>
      </c>
      <c r="J103" s="36" t="n">
        <v>15.7756354075373</v>
      </c>
    </row>
    <row r="104" customFormat="false" ht="15" hidden="false" customHeight="false" outlineLevel="0" collapsed="false">
      <c r="A104" s="18" t="s">
        <v>75</v>
      </c>
      <c r="B104" s="36" t="n">
        <v>-4.59</v>
      </c>
      <c r="C104" s="36" t="n">
        <v>-11.26</v>
      </c>
      <c r="D104" s="36" t="n">
        <v>-12.84</v>
      </c>
      <c r="E104" s="36" t="n">
        <v>15.2</v>
      </c>
      <c r="F104" s="36" t="n">
        <v>1.98</v>
      </c>
      <c r="G104" s="36" t="n">
        <v>-11.51</v>
      </c>
      <c r="H104" s="36" t="n">
        <v>-2.302</v>
      </c>
      <c r="I104" s="36" t="n">
        <v>11.4147457264715</v>
      </c>
      <c r="J104" s="36" t="n">
        <v>50.4382120946538</v>
      </c>
    </row>
    <row r="105" customFormat="false" ht="15" hidden="false" customHeight="false" outlineLevel="0" collapsed="false">
      <c r="A105" s="18" t="s">
        <v>70</v>
      </c>
      <c r="B105" s="36" t="n">
        <v>-12.82</v>
      </c>
      <c r="C105" s="36" t="n">
        <v>-4.44</v>
      </c>
      <c r="D105" s="36" t="n">
        <v>-8.07</v>
      </c>
      <c r="E105" s="36" t="n">
        <v>1.98</v>
      </c>
      <c r="F105" s="36" t="n">
        <v>15.2</v>
      </c>
      <c r="G105" s="36" t="n">
        <v>-8.15</v>
      </c>
      <c r="H105" s="36" t="n">
        <v>-1.63</v>
      </c>
      <c r="I105" s="36" t="n">
        <v>10.8497327156018</v>
      </c>
      <c r="J105" s="36" t="n">
        <v>35.7142857142857</v>
      </c>
    </row>
    <row r="106" customFormat="false" ht="15" hidden="false" customHeight="false" outlineLevel="0" collapsed="false">
      <c r="A106" s="18" t="s">
        <v>396</v>
      </c>
      <c r="B106" s="99" t="n">
        <v>-0.23</v>
      </c>
      <c r="C106" s="99" t="n">
        <v>1.48</v>
      </c>
      <c r="D106" s="99" t="n">
        <v>-3.73</v>
      </c>
      <c r="E106" s="99" t="n">
        <v>-12.04</v>
      </c>
      <c r="F106" s="99" t="n">
        <v>-8.3</v>
      </c>
      <c r="G106" s="99" t="n">
        <v>-22.82</v>
      </c>
    </row>
    <row r="107" customFormat="false" ht="15" hidden="false" customHeight="false" outlineLevel="0" collapsed="false">
      <c r="A107" s="18" t="s">
        <v>397</v>
      </c>
      <c r="B107" s="99" t="n">
        <v>-0.0460000000000001</v>
      </c>
      <c r="C107" s="99" t="n">
        <v>0.296</v>
      </c>
      <c r="D107" s="99" t="n">
        <v>-0.746</v>
      </c>
      <c r="E107" s="99" t="n">
        <v>-2.408</v>
      </c>
      <c r="F107" s="99" t="n">
        <v>-1.66</v>
      </c>
      <c r="H107" s="0" t="n">
        <f aca="false">AVERAGE(B101:F105)</f>
        <v>-0.9128</v>
      </c>
    </row>
    <row r="108" customFormat="false" ht="15" hidden="false" customHeight="false" outlineLevel="0" collapsed="false">
      <c r="A108" s="18" t="s">
        <v>398</v>
      </c>
      <c r="B108" s="99" t="n">
        <v>10.2514672120629</v>
      </c>
      <c r="C108" s="99" t="n">
        <v>9.75991188484814</v>
      </c>
      <c r="D108" s="99" t="n">
        <v>10.7490501905982</v>
      </c>
      <c r="E108" s="99" t="n">
        <v>11.5032656232915</v>
      </c>
      <c r="F108" s="99" t="n">
        <v>10.8511105422441</v>
      </c>
    </row>
    <row r="109" customFormat="false" ht="15" hidden="false" customHeight="false" outlineLevel="0" collapsed="false">
      <c r="A109" s="18" t="s">
        <v>394</v>
      </c>
      <c r="B109" s="99" t="n">
        <v>1.00788781770377</v>
      </c>
      <c r="C109" s="99" t="n">
        <v>-6.48553900087643</v>
      </c>
      <c r="D109" s="99" t="n">
        <v>16.3453111305872</v>
      </c>
      <c r="E109" s="99" t="n">
        <v>52.760736196319</v>
      </c>
      <c r="F109" s="99" t="n">
        <v>36.3716038562664</v>
      </c>
      <c r="G109" s="99" t="n">
        <v>100</v>
      </c>
    </row>
    <row r="110" customFormat="false" ht="15" hidden="false" customHeight="false" outlineLevel="0" collapsed="false">
      <c r="A110" s="18" t="s">
        <v>113</v>
      </c>
      <c r="B110" s="99" t="n">
        <v>1.48992112182296</v>
      </c>
      <c r="C110" s="99" t="n">
        <v>-3.41805433829974</v>
      </c>
      <c r="D110" s="99" t="n">
        <v>15.7756354075373</v>
      </c>
      <c r="E110" s="99" t="n">
        <v>50.4382120946538</v>
      </c>
      <c r="F110" s="99" t="n">
        <v>35.7142857142857</v>
      </c>
    </row>
    <row r="111" customFormat="false" ht="15" hidden="false" customHeight="false" outlineLevel="0" collapsed="false">
      <c r="A111" s="18" t="s">
        <v>399</v>
      </c>
      <c r="B111" s="99" t="n">
        <v>-0.482033304119191</v>
      </c>
      <c r="C111" s="99" t="n">
        <v>-3.06748466257669</v>
      </c>
      <c r="D111" s="99" t="n">
        <v>0.569675723049954</v>
      </c>
      <c r="E111" s="99" t="n">
        <v>2.32252410166521</v>
      </c>
      <c r="F111" s="99" t="n">
        <v>0.657318141980731</v>
      </c>
    </row>
    <row r="113" customFormat="false" ht="15" hidden="false" customHeight="false" outlineLevel="0" collapsed="false">
      <c r="A113" s="96" t="s">
        <v>402</v>
      </c>
      <c r="L113" s="97" t="s">
        <v>403</v>
      </c>
      <c r="M113" s="97"/>
      <c r="N113" s="97"/>
      <c r="O113" s="97"/>
      <c r="P113" s="97"/>
    </row>
    <row r="115" customFormat="false" ht="15" hidden="false" customHeight="false" outlineLevel="0" collapsed="false">
      <c r="A115" s="58" t="s">
        <v>367</v>
      </c>
      <c r="B115" s="58" t="s">
        <v>65</v>
      </c>
      <c r="C115" s="58" t="s">
        <v>71</v>
      </c>
      <c r="D115" s="58" t="s">
        <v>74</v>
      </c>
      <c r="E115" s="58" t="s">
        <v>75</v>
      </c>
      <c r="F115" s="58" t="s">
        <v>70</v>
      </c>
      <c r="G115" s="58" t="s">
        <v>392</v>
      </c>
      <c r="H115" s="58" t="s">
        <v>393</v>
      </c>
      <c r="I115" s="58" t="s">
        <v>261</v>
      </c>
      <c r="J115" s="58" t="s">
        <v>394</v>
      </c>
      <c r="L115" s="98" t="s">
        <v>395</v>
      </c>
      <c r="M115" s="98" t="s">
        <v>392</v>
      </c>
      <c r="N115" s="98" t="s">
        <v>393</v>
      </c>
      <c r="O115" s="98" t="s">
        <v>261</v>
      </c>
      <c r="P115" s="98" t="s">
        <v>394</v>
      </c>
    </row>
    <row r="116" customFormat="false" ht="15" hidden="false" customHeight="false" outlineLevel="0" collapsed="false">
      <c r="A116" s="18" t="s">
        <v>65</v>
      </c>
      <c r="B116" s="36" t="n">
        <v>7.6</v>
      </c>
      <c r="C116" s="36" t="n">
        <v>1.53</v>
      </c>
      <c r="D116" s="36" t="n">
        <v>0</v>
      </c>
      <c r="E116" s="36" t="n">
        <v>3.28</v>
      </c>
      <c r="F116" s="36" t="n">
        <v>6.41</v>
      </c>
      <c r="G116" s="36" t="n">
        <v>18.82</v>
      </c>
      <c r="H116" s="36" t="n">
        <v>3.764</v>
      </c>
      <c r="I116" s="36" t="n">
        <v>3.20581190964161</v>
      </c>
      <c r="J116" s="36" t="n">
        <v>18.8577154308617</v>
      </c>
      <c r="L116" s="18" t="s">
        <v>367</v>
      </c>
      <c r="M116" s="36" t="n">
        <v>99.8</v>
      </c>
      <c r="N116" s="36" t="n">
        <v>3.992</v>
      </c>
      <c r="O116" s="36" t="n">
        <v>2.74764335385799</v>
      </c>
      <c r="P116" s="36" t="n">
        <v>24.9475052494751</v>
      </c>
    </row>
    <row r="117" customFormat="false" ht="15" hidden="false" customHeight="false" outlineLevel="0" collapsed="false">
      <c r="A117" s="18" t="s">
        <v>71</v>
      </c>
      <c r="B117" s="36" t="n">
        <v>1.53</v>
      </c>
      <c r="C117" s="36" t="n">
        <v>0</v>
      </c>
      <c r="D117" s="36" t="n">
        <v>7.6</v>
      </c>
      <c r="E117" s="36" t="n">
        <v>5.99</v>
      </c>
      <c r="F117" s="36" t="n">
        <v>3.28</v>
      </c>
      <c r="G117" s="36" t="n">
        <v>18.4</v>
      </c>
      <c r="H117" s="36" t="n">
        <v>3.68</v>
      </c>
      <c r="I117" s="36" t="n">
        <v>3.12359568446366</v>
      </c>
      <c r="J117" s="36" t="n">
        <v>18.436873747495</v>
      </c>
      <c r="L117" s="18" t="s">
        <v>368</v>
      </c>
      <c r="M117" s="36" t="n">
        <v>100.22</v>
      </c>
      <c r="N117" s="36" t="n">
        <v>4.0088</v>
      </c>
      <c r="O117" s="36" t="n">
        <v>2.73617882456538</v>
      </c>
      <c r="P117" s="36" t="n">
        <v>25.052494750525</v>
      </c>
    </row>
    <row r="118" customFormat="false" ht="15" hidden="false" customHeight="false" outlineLevel="0" collapsed="false">
      <c r="A118" s="18" t="s">
        <v>74</v>
      </c>
      <c r="B118" s="36" t="n">
        <v>0</v>
      </c>
      <c r="C118" s="36" t="n">
        <v>7.6</v>
      </c>
      <c r="D118" s="36" t="n">
        <v>1.53</v>
      </c>
      <c r="E118" s="36" t="n">
        <v>6.41</v>
      </c>
      <c r="F118" s="36" t="n">
        <v>3.98</v>
      </c>
      <c r="G118" s="36" t="n">
        <v>19.52</v>
      </c>
      <c r="H118" s="36" t="n">
        <v>3.904</v>
      </c>
      <c r="I118" s="36" t="n">
        <v>3.19465647605498</v>
      </c>
      <c r="J118" s="36" t="n">
        <v>19.559118236473</v>
      </c>
      <c r="L118" s="18" t="s">
        <v>369</v>
      </c>
      <c r="M118" s="36" t="n">
        <v>200.02</v>
      </c>
      <c r="N118" s="36" t="n">
        <v>8.0008</v>
      </c>
      <c r="O118" s="36" t="n">
        <v>5.42861523410897</v>
      </c>
      <c r="P118" s="36" t="n">
        <v>50</v>
      </c>
    </row>
    <row r="119" customFormat="false" ht="15" hidden="false" customHeight="false" outlineLevel="0" collapsed="false">
      <c r="A119" s="18" t="s">
        <v>75</v>
      </c>
      <c r="B119" s="36" t="n">
        <v>1.26</v>
      </c>
      <c r="C119" s="36" t="n">
        <v>5.48</v>
      </c>
      <c r="D119" s="36" t="n">
        <v>6.41</v>
      </c>
      <c r="E119" s="36" t="n">
        <v>7.6</v>
      </c>
      <c r="F119" s="36" t="n">
        <v>1.53</v>
      </c>
      <c r="G119" s="36" t="n">
        <v>22.28</v>
      </c>
      <c r="H119" s="36" t="n">
        <v>4.456</v>
      </c>
      <c r="I119" s="36" t="n">
        <v>2.89513902947682</v>
      </c>
      <c r="J119" s="36" t="n">
        <v>22.3246492985972</v>
      </c>
    </row>
    <row r="120" customFormat="false" ht="15" hidden="false" customHeight="false" outlineLevel="0" collapsed="false">
      <c r="A120" s="18" t="s">
        <v>70</v>
      </c>
      <c r="B120" s="36" t="n">
        <v>6.41</v>
      </c>
      <c r="C120" s="36" t="n">
        <v>1.26</v>
      </c>
      <c r="D120" s="36" t="n">
        <v>3.98</v>
      </c>
      <c r="E120" s="36" t="n">
        <v>1.53</v>
      </c>
      <c r="F120" s="36" t="n">
        <v>7.6</v>
      </c>
      <c r="G120" s="36" t="n">
        <v>20.78</v>
      </c>
      <c r="H120" s="36" t="n">
        <v>4.156</v>
      </c>
      <c r="I120" s="36" t="n">
        <v>2.83968836318354</v>
      </c>
      <c r="J120" s="36" t="n">
        <v>20.8216432865731</v>
      </c>
    </row>
    <row r="121" customFormat="false" ht="15" hidden="false" customHeight="false" outlineLevel="0" collapsed="false">
      <c r="A121" s="18" t="s">
        <v>396</v>
      </c>
      <c r="B121" s="99" t="n">
        <v>16.8</v>
      </c>
      <c r="C121" s="99" t="n">
        <v>15.87</v>
      </c>
      <c r="D121" s="99" t="n">
        <v>19.52</v>
      </c>
      <c r="E121" s="99" t="n">
        <v>24.81</v>
      </c>
      <c r="F121" s="99" t="n">
        <v>22.8</v>
      </c>
      <c r="G121" s="99" t="n">
        <v>99.8</v>
      </c>
    </row>
    <row r="122" customFormat="false" ht="15" hidden="false" customHeight="false" outlineLevel="0" collapsed="false">
      <c r="A122" s="18" t="s">
        <v>397</v>
      </c>
      <c r="B122" s="99" t="n">
        <v>3.36</v>
      </c>
      <c r="C122" s="99" t="n">
        <v>3.174</v>
      </c>
      <c r="D122" s="99" t="n">
        <v>3.904</v>
      </c>
      <c r="E122" s="99" t="n">
        <v>4.962</v>
      </c>
      <c r="F122" s="99" t="n">
        <v>4.56</v>
      </c>
    </row>
    <row r="123" customFormat="false" ht="15" hidden="false" customHeight="false" outlineLevel="0" collapsed="false">
      <c r="A123" s="18" t="s">
        <v>398</v>
      </c>
      <c r="B123" s="99" t="n">
        <v>3.40325579408895</v>
      </c>
      <c r="C123" s="99" t="n">
        <v>3.2151018646382</v>
      </c>
      <c r="D123" s="99" t="n">
        <v>3.19465647605498</v>
      </c>
      <c r="E123" s="99" t="n">
        <v>2.48597465795611</v>
      </c>
      <c r="F123" s="99" t="n">
        <v>2.4402766236638</v>
      </c>
    </row>
    <row r="124" customFormat="false" ht="15" hidden="false" customHeight="false" outlineLevel="0" collapsed="false">
      <c r="A124" s="18" t="s">
        <v>394</v>
      </c>
      <c r="B124" s="99" t="n">
        <v>16.8336673346693</v>
      </c>
      <c r="C124" s="99" t="n">
        <v>15.9018036072144</v>
      </c>
      <c r="D124" s="99" t="n">
        <v>19.559118236473</v>
      </c>
      <c r="E124" s="99" t="n">
        <v>24.8597194388778</v>
      </c>
      <c r="F124" s="99" t="n">
        <v>22.8456913827655</v>
      </c>
      <c r="G124" s="99" t="n">
        <v>100</v>
      </c>
    </row>
    <row r="125" customFormat="false" ht="15" hidden="false" customHeight="false" outlineLevel="0" collapsed="false">
      <c r="A125" s="18" t="s">
        <v>113</v>
      </c>
      <c r="B125" s="99" t="n">
        <v>18.8577154308617</v>
      </c>
      <c r="C125" s="99" t="n">
        <v>18.436873747495</v>
      </c>
      <c r="D125" s="99" t="n">
        <v>19.559118236473</v>
      </c>
      <c r="E125" s="99" t="n">
        <v>22.3246492985972</v>
      </c>
      <c r="F125" s="99" t="n">
        <v>20.8216432865731</v>
      </c>
    </row>
    <row r="126" customFormat="false" ht="15" hidden="false" customHeight="false" outlineLevel="0" collapsed="false">
      <c r="A126" s="18" t="s">
        <v>399</v>
      </c>
      <c r="B126" s="99" t="n">
        <v>-2.02404809619238</v>
      </c>
      <c r="C126" s="99" t="n">
        <v>-2.53507014028056</v>
      </c>
      <c r="D126" s="99" t="n">
        <v>0</v>
      </c>
      <c r="E126" s="99" t="n">
        <v>2.53507014028056</v>
      </c>
      <c r="F126" s="99" t="n">
        <v>2.02404809619239</v>
      </c>
    </row>
    <row r="128" customFormat="false" ht="15" hidden="false" customHeight="false" outlineLevel="0" collapsed="false">
      <c r="A128" s="58" t="s">
        <v>368</v>
      </c>
      <c r="B128" s="58" t="s">
        <v>65</v>
      </c>
      <c r="C128" s="58" t="s">
        <v>71</v>
      </c>
      <c r="D128" s="58" t="s">
        <v>74</v>
      </c>
      <c r="E128" s="58" t="s">
        <v>75</v>
      </c>
      <c r="F128" s="58" t="s">
        <v>70</v>
      </c>
      <c r="G128" s="58" t="s">
        <v>392</v>
      </c>
      <c r="H128" s="58" t="s">
        <v>393</v>
      </c>
      <c r="I128" s="58" t="s">
        <v>261</v>
      </c>
      <c r="J128" s="58" t="s">
        <v>394</v>
      </c>
    </row>
    <row r="129" customFormat="false" ht="15" hidden="false" customHeight="false" outlineLevel="0" collapsed="false">
      <c r="A129" s="18" t="s">
        <v>65</v>
      </c>
      <c r="B129" s="36" t="n">
        <v>7.6</v>
      </c>
      <c r="C129" s="36" t="n">
        <v>1.53</v>
      </c>
      <c r="D129" s="36" t="n">
        <v>0</v>
      </c>
      <c r="E129" s="36" t="n">
        <v>1.42</v>
      </c>
      <c r="F129" s="36" t="n">
        <v>6.41</v>
      </c>
      <c r="G129" s="36" t="n">
        <v>16.96</v>
      </c>
      <c r="H129" s="36" t="n">
        <v>3.392</v>
      </c>
      <c r="I129" s="36" t="n">
        <v>3.37924103905004</v>
      </c>
      <c r="J129" s="36" t="n">
        <v>16.9227699062064</v>
      </c>
    </row>
    <row r="130" customFormat="false" ht="15" hidden="false" customHeight="false" outlineLevel="0" collapsed="false">
      <c r="A130" s="18" t="s">
        <v>71</v>
      </c>
      <c r="B130" s="36" t="n">
        <v>1.53</v>
      </c>
      <c r="C130" s="36" t="n">
        <v>0</v>
      </c>
      <c r="D130" s="36" t="n">
        <v>7.6</v>
      </c>
      <c r="E130" s="36" t="n">
        <v>5.71</v>
      </c>
      <c r="F130" s="36" t="n">
        <v>1.42</v>
      </c>
      <c r="G130" s="36" t="n">
        <v>16.26</v>
      </c>
      <c r="H130" s="36" t="n">
        <v>3.252</v>
      </c>
      <c r="I130" s="36" t="n">
        <v>3.23434228244322</v>
      </c>
      <c r="J130" s="36" t="n">
        <v>16.2243065256436</v>
      </c>
    </row>
    <row r="131" customFormat="false" ht="15" hidden="false" customHeight="false" outlineLevel="0" collapsed="false">
      <c r="A131" s="18" t="s">
        <v>74</v>
      </c>
      <c r="B131" s="36" t="n">
        <v>0</v>
      </c>
      <c r="C131" s="36" t="n">
        <v>7.6</v>
      </c>
      <c r="D131" s="36" t="n">
        <v>1.53</v>
      </c>
      <c r="E131" s="36" t="n">
        <v>6.41</v>
      </c>
      <c r="F131" s="36" t="n">
        <v>3.98</v>
      </c>
      <c r="G131" s="36" t="n">
        <v>19.52</v>
      </c>
      <c r="H131" s="36" t="n">
        <v>3.904</v>
      </c>
      <c r="I131" s="36" t="n">
        <v>3.19465647605498</v>
      </c>
      <c r="J131" s="36" t="n">
        <v>19.4771502694073</v>
      </c>
    </row>
    <row r="132" customFormat="false" ht="15" hidden="false" customHeight="false" outlineLevel="0" collapsed="false">
      <c r="A132" s="18" t="s">
        <v>75</v>
      </c>
      <c r="B132" s="36" t="n">
        <v>3.33</v>
      </c>
      <c r="C132" s="36" t="n">
        <v>5.78</v>
      </c>
      <c r="D132" s="36" t="n">
        <v>6.43</v>
      </c>
      <c r="E132" s="36" t="n">
        <v>7.6</v>
      </c>
      <c r="F132" s="36" t="n">
        <v>1.53</v>
      </c>
      <c r="G132" s="36" t="n">
        <v>24.67</v>
      </c>
      <c r="H132" s="36" t="n">
        <v>4.934</v>
      </c>
      <c r="I132" s="36" t="n">
        <v>2.4607580132959</v>
      </c>
      <c r="J132" s="36" t="n">
        <v>24.6158451406905</v>
      </c>
    </row>
    <row r="133" customFormat="false" ht="15" hidden="false" customHeight="false" outlineLevel="0" collapsed="false">
      <c r="A133" s="18" t="s">
        <v>70</v>
      </c>
      <c r="B133" s="36" t="n">
        <v>6.41</v>
      </c>
      <c r="C133" s="36" t="n">
        <v>3.18</v>
      </c>
      <c r="D133" s="36" t="n">
        <v>4.09</v>
      </c>
      <c r="E133" s="36" t="n">
        <v>1.53</v>
      </c>
      <c r="F133" s="36" t="n">
        <v>7.6</v>
      </c>
      <c r="G133" s="36" t="n">
        <v>22.81</v>
      </c>
      <c r="H133" s="36" t="n">
        <v>4.562</v>
      </c>
      <c r="I133" s="36" t="n">
        <v>2.44797263056596</v>
      </c>
      <c r="J133" s="36" t="n">
        <v>22.7599281580523</v>
      </c>
    </row>
    <row r="134" customFormat="false" ht="15" hidden="false" customHeight="false" outlineLevel="0" collapsed="false">
      <c r="A134" s="18" t="s">
        <v>396</v>
      </c>
      <c r="B134" s="99" t="n">
        <v>18.87</v>
      </c>
      <c r="C134" s="99" t="n">
        <v>18.09</v>
      </c>
      <c r="D134" s="99" t="n">
        <v>19.65</v>
      </c>
      <c r="E134" s="99" t="n">
        <v>22.67</v>
      </c>
      <c r="F134" s="99" t="n">
        <v>20.94</v>
      </c>
      <c r="G134" s="99" t="n">
        <v>100.22</v>
      </c>
    </row>
    <row r="135" customFormat="false" ht="15" hidden="false" customHeight="false" outlineLevel="0" collapsed="false">
      <c r="A135" s="18" t="s">
        <v>397</v>
      </c>
      <c r="B135" s="99" t="n">
        <v>3.774</v>
      </c>
      <c r="C135" s="99" t="n">
        <v>3.618</v>
      </c>
      <c r="D135" s="99" t="n">
        <v>3.93</v>
      </c>
      <c r="E135" s="99" t="n">
        <v>4.534</v>
      </c>
      <c r="F135" s="99" t="n">
        <v>4.188</v>
      </c>
    </row>
    <row r="136" customFormat="false" ht="15" hidden="false" customHeight="false" outlineLevel="0" collapsed="false">
      <c r="A136" s="18" t="s">
        <v>398</v>
      </c>
      <c r="B136" s="99" t="n">
        <v>3.20400218476829</v>
      </c>
      <c r="C136" s="99" t="n">
        <v>3.08917788416271</v>
      </c>
      <c r="D136" s="99" t="n">
        <v>3.19958591070782</v>
      </c>
      <c r="E136" s="99" t="n">
        <v>2.87331341833779</v>
      </c>
      <c r="F136" s="99" t="n">
        <v>2.79951245755399</v>
      </c>
    </row>
    <row r="137" customFormat="false" ht="15" hidden="false" customHeight="false" outlineLevel="0" collapsed="false">
      <c r="A137" s="18" t="s">
        <v>394</v>
      </c>
      <c r="B137" s="99" t="n">
        <v>18.8285771303133</v>
      </c>
      <c r="C137" s="99" t="n">
        <v>18.0502893634005</v>
      </c>
      <c r="D137" s="99" t="n">
        <v>19.6068648972261</v>
      </c>
      <c r="E137" s="99" t="n">
        <v>22.6202354819397</v>
      </c>
      <c r="F137" s="99" t="n">
        <v>20.8940331271203</v>
      </c>
      <c r="G137" s="99" t="n">
        <v>100</v>
      </c>
    </row>
    <row r="138" customFormat="false" ht="15" hidden="false" customHeight="false" outlineLevel="0" collapsed="false">
      <c r="A138" s="18" t="s">
        <v>113</v>
      </c>
      <c r="B138" s="99" t="n">
        <v>16.9227699062064</v>
      </c>
      <c r="C138" s="99" t="n">
        <v>16.2243065256436</v>
      </c>
      <c r="D138" s="99" t="n">
        <v>19.4771502694073</v>
      </c>
      <c r="E138" s="99" t="n">
        <v>24.6158451406905</v>
      </c>
      <c r="F138" s="99" t="n">
        <v>22.7599281580523</v>
      </c>
    </row>
    <row r="139" customFormat="false" ht="15" hidden="false" customHeight="false" outlineLevel="0" collapsed="false">
      <c r="A139" s="18" t="s">
        <v>399</v>
      </c>
      <c r="B139" s="99" t="n">
        <v>1.90580722410697</v>
      </c>
      <c r="C139" s="99" t="n">
        <v>1.82598283775693</v>
      </c>
      <c r="D139" s="99" t="n">
        <v>0.129714627818792</v>
      </c>
      <c r="E139" s="99" t="n">
        <v>-1.99560965875075</v>
      </c>
      <c r="F139" s="99" t="n">
        <v>-1.86589503093195</v>
      </c>
    </row>
    <row r="141" customFormat="false" ht="15" hidden="false" customHeight="false" outlineLevel="0" collapsed="false">
      <c r="A141" s="58" t="s">
        <v>369</v>
      </c>
      <c r="B141" s="58" t="s">
        <v>65</v>
      </c>
      <c r="C141" s="58" t="s">
        <v>71</v>
      </c>
      <c r="D141" s="58" t="s">
        <v>74</v>
      </c>
      <c r="E141" s="58" t="s">
        <v>75</v>
      </c>
      <c r="F141" s="58" t="s">
        <v>70</v>
      </c>
      <c r="G141" s="58" t="s">
        <v>392</v>
      </c>
      <c r="H141" s="58" t="s">
        <v>393</v>
      </c>
      <c r="I141" s="58" t="s">
        <v>261</v>
      </c>
      <c r="J141" s="58" t="s">
        <v>394</v>
      </c>
    </row>
    <row r="142" customFormat="false" ht="15" hidden="false" customHeight="false" outlineLevel="0" collapsed="false">
      <c r="A142" s="18" t="s">
        <v>65</v>
      </c>
      <c r="B142" s="36" t="n">
        <v>15.2</v>
      </c>
      <c r="C142" s="36" t="n">
        <v>3.06</v>
      </c>
      <c r="D142" s="36" t="n">
        <v>0</v>
      </c>
      <c r="E142" s="36" t="n">
        <v>4.7</v>
      </c>
      <c r="F142" s="36" t="n">
        <v>12.82</v>
      </c>
      <c r="G142" s="36" t="n">
        <v>35.78</v>
      </c>
      <c r="H142" s="36" t="n">
        <v>7.156</v>
      </c>
      <c r="I142" s="36" t="n">
        <v>6.53460633856394</v>
      </c>
      <c r="J142" s="36" t="n">
        <v>17.8882111788821</v>
      </c>
    </row>
    <row r="143" customFormat="false" ht="15" hidden="false" customHeight="false" outlineLevel="0" collapsed="false">
      <c r="A143" s="18" t="s">
        <v>71</v>
      </c>
      <c r="B143" s="36" t="n">
        <v>3.06</v>
      </c>
      <c r="C143" s="36" t="n">
        <v>0</v>
      </c>
      <c r="D143" s="36" t="n">
        <v>15.2</v>
      </c>
      <c r="E143" s="36" t="n">
        <v>11.7</v>
      </c>
      <c r="F143" s="36" t="n">
        <v>4.7</v>
      </c>
      <c r="G143" s="36" t="n">
        <v>34.66</v>
      </c>
      <c r="H143" s="36" t="n">
        <v>6.932</v>
      </c>
      <c r="I143" s="36" t="n">
        <v>6.3071483255113</v>
      </c>
      <c r="J143" s="36" t="n">
        <v>17.3282671732827</v>
      </c>
    </row>
    <row r="144" customFormat="false" ht="15" hidden="false" customHeight="false" outlineLevel="0" collapsed="false">
      <c r="A144" s="18" t="s">
        <v>74</v>
      </c>
      <c r="B144" s="36" t="n">
        <v>0</v>
      </c>
      <c r="C144" s="36" t="n">
        <v>15.2</v>
      </c>
      <c r="D144" s="36" t="n">
        <v>3.06</v>
      </c>
      <c r="E144" s="36" t="n">
        <v>12.82</v>
      </c>
      <c r="F144" s="36" t="n">
        <v>7.96</v>
      </c>
      <c r="G144" s="36" t="n">
        <v>39.04</v>
      </c>
      <c r="H144" s="36" t="n">
        <v>7.808</v>
      </c>
      <c r="I144" s="36" t="n">
        <v>6.38931295210995</v>
      </c>
      <c r="J144" s="36" t="n">
        <v>19.5180481951805</v>
      </c>
    </row>
    <row r="145" customFormat="false" ht="15" hidden="false" customHeight="false" outlineLevel="0" collapsed="false">
      <c r="A145" s="18" t="s">
        <v>75</v>
      </c>
      <c r="B145" s="36" t="n">
        <v>4.59</v>
      </c>
      <c r="C145" s="36" t="n">
        <v>11.26</v>
      </c>
      <c r="D145" s="36" t="n">
        <v>12.84</v>
      </c>
      <c r="E145" s="36" t="n">
        <v>15.2</v>
      </c>
      <c r="F145" s="36" t="n">
        <v>3.06</v>
      </c>
      <c r="G145" s="36" t="n">
        <v>46.95</v>
      </c>
      <c r="H145" s="36" t="n">
        <v>9.39</v>
      </c>
      <c r="I145" s="36" t="n">
        <v>5.2977448032158</v>
      </c>
      <c r="J145" s="36" t="n">
        <v>23.4726527347265</v>
      </c>
    </row>
    <row r="146" customFormat="false" ht="15" hidden="false" customHeight="false" outlineLevel="0" collapsed="false">
      <c r="A146" s="18" t="s">
        <v>70</v>
      </c>
      <c r="B146" s="36" t="n">
        <v>12.82</v>
      </c>
      <c r="C146" s="36" t="n">
        <v>4.44</v>
      </c>
      <c r="D146" s="36" t="n">
        <v>8.07</v>
      </c>
      <c r="E146" s="36" t="n">
        <v>3.06</v>
      </c>
      <c r="F146" s="36" t="n">
        <v>15.2</v>
      </c>
      <c r="G146" s="36" t="n">
        <v>43.59</v>
      </c>
      <c r="H146" s="36" t="n">
        <v>8.718</v>
      </c>
      <c r="I146" s="36" t="n">
        <v>5.23394879608122</v>
      </c>
      <c r="J146" s="36" t="n">
        <v>21.7928207179282</v>
      </c>
    </row>
    <row r="147" customFormat="false" ht="15" hidden="false" customHeight="false" outlineLevel="0" collapsed="false">
      <c r="A147" s="18" t="s">
        <v>396</v>
      </c>
      <c r="B147" s="99" t="n">
        <v>35.67</v>
      </c>
      <c r="C147" s="99" t="n">
        <v>33.96</v>
      </c>
      <c r="D147" s="99" t="n">
        <v>39.17</v>
      </c>
      <c r="E147" s="99" t="n">
        <v>47.48</v>
      </c>
      <c r="F147" s="99" t="n">
        <v>43.74</v>
      </c>
      <c r="G147" s="99" t="n">
        <v>200.02</v>
      </c>
    </row>
    <row r="148" customFormat="false" ht="15" hidden="false" customHeight="false" outlineLevel="0" collapsed="false">
      <c r="A148" s="18" t="s">
        <v>397</v>
      </c>
      <c r="B148" s="99" t="n">
        <v>7.134</v>
      </c>
      <c r="C148" s="99" t="n">
        <v>6.792</v>
      </c>
      <c r="D148" s="99" t="n">
        <v>7.834</v>
      </c>
      <c r="E148" s="99" t="n">
        <v>9.496</v>
      </c>
      <c r="F148" s="99" t="n">
        <v>8.748</v>
      </c>
      <c r="H148" s="100" t="n">
        <f aca="false">AVERAGE(B142:F146)</f>
        <v>8.0008</v>
      </c>
    </row>
    <row r="149" customFormat="false" ht="15" hidden="false" customHeight="false" outlineLevel="0" collapsed="false">
      <c r="A149" s="18" t="s">
        <v>398</v>
      </c>
      <c r="B149" s="99" t="n">
        <v>6.5451187918937</v>
      </c>
      <c r="C149" s="99" t="n">
        <v>6.24996959992607</v>
      </c>
      <c r="D149" s="99" t="n">
        <v>6.39406599903379</v>
      </c>
      <c r="E149" s="99" t="n">
        <v>5.31191867407625</v>
      </c>
      <c r="F149" s="99" t="n">
        <v>5.18579984187589</v>
      </c>
    </row>
    <row r="150" customFormat="false" ht="15" hidden="false" customHeight="false" outlineLevel="0" collapsed="false">
      <c r="A150" s="18" t="s">
        <v>394</v>
      </c>
      <c r="B150" s="99" t="n">
        <v>17.8332166783322</v>
      </c>
      <c r="C150" s="99" t="n">
        <v>16.978302169783</v>
      </c>
      <c r="D150" s="99" t="n">
        <v>19.5830416958304</v>
      </c>
      <c r="E150" s="99" t="n">
        <v>23.7376262373763</v>
      </c>
      <c r="F150" s="99" t="n">
        <v>21.8678132186781</v>
      </c>
      <c r="G150" s="99" t="n">
        <v>100</v>
      </c>
    </row>
    <row r="151" customFormat="false" ht="15" hidden="false" customHeight="false" outlineLevel="0" collapsed="false">
      <c r="A151" s="18" t="s">
        <v>113</v>
      </c>
      <c r="B151" s="99" t="n">
        <v>17.8882111788821</v>
      </c>
      <c r="C151" s="99" t="n">
        <v>17.3282671732827</v>
      </c>
      <c r="D151" s="99" t="n">
        <v>19.5180481951805</v>
      </c>
      <c r="E151" s="99" t="n">
        <v>23.4726527347265</v>
      </c>
      <c r="F151" s="99" t="n">
        <v>21.7928207179282</v>
      </c>
    </row>
    <row r="152" customFormat="false" ht="15" hidden="false" customHeight="false" outlineLevel="0" collapsed="false">
      <c r="A152" s="18" t="s">
        <v>399</v>
      </c>
      <c r="B152" s="99" t="n">
        <v>-0.0549945005499417</v>
      </c>
      <c r="C152" s="99" t="n">
        <v>-0.349965003499648</v>
      </c>
      <c r="D152" s="99" t="n">
        <v>0.0649935006499334</v>
      </c>
      <c r="E152" s="99" t="n">
        <v>0.264973502649738</v>
      </c>
      <c r="F152" s="99" t="n">
        <v>0.074992500749925</v>
      </c>
    </row>
    <row r="156" customFormat="false" ht="16.15" hidden="false" customHeight="false" outlineLevel="0" collapsed="false">
      <c r="A156" s="85" t="s">
        <v>404</v>
      </c>
    </row>
    <row r="158" customFormat="false" ht="15" hidden="false" customHeight="false" outlineLevel="0" collapsed="false">
      <c r="A158" s="96" t="s">
        <v>405</v>
      </c>
    </row>
    <row r="159" customFormat="false" ht="15" hidden="false" customHeight="false" outlineLevel="0" collapsed="false">
      <c r="A159" s="101" t="s">
        <v>406</v>
      </c>
      <c r="B159" s="101" t="s">
        <v>168</v>
      </c>
      <c r="C159" s="101" t="s">
        <v>169</v>
      </c>
      <c r="D159" s="101" t="s">
        <v>170</v>
      </c>
      <c r="E159" s="101" t="s">
        <v>171</v>
      </c>
      <c r="F159" s="101" t="s">
        <v>172</v>
      </c>
      <c r="G159" s="101" t="s">
        <v>173</v>
      </c>
      <c r="H159" s="101" t="s">
        <v>174</v>
      </c>
      <c r="I159" s="101" t="s">
        <v>175</v>
      </c>
      <c r="J159" s="101" t="s">
        <v>176</v>
      </c>
    </row>
    <row r="160" customFormat="false" ht="15" hidden="false" customHeight="false" outlineLevel="0" collapsed="false">
      <c r="A160" s="102" t="s">
        <v>177</v>
      </c>
      <c r="B160" s="103" t="s">
        <v>407</v>
      </c>
      <c r="C160" s="103"/>
      <c r="D160" s="103"/>
      <c r="E160" s="103"/>
      <c r="F160" s="103"/>
      <c r="G160" s="103"/>
      <c r="H160" s="103"/>
      <c r="I160" s="103"/>
      <c r="J160" s="103"/>
    </row>
    <row r="161" customFormat="false" ht="15" hidden="false" customHeight="false" outlineLevel="0" collapsed="false">
      <c r="A161" s="102" t="s">
        <v>186</v>
      </c>
      <c r="B161" s="103"/>
      <c r="C161" s="103" t="s">
        <v>408</v>
      </c>
      <c r="D161" s="103"/>
      <c r="E161" s="103"/>
      <c r="F161" s="103"/>
      <c r="G161" s="103"/>
      <c r="H161" s="103"/>
      <c r="I161" s="103"/>
      <c r="J161" s="103"/>
    </row>
    <row r="162" customFormat="false" ht="15" hidden="false" customHeight="false" outlineLevel="0" collapsed="false">
      <c r="A162" s="102" t="s">
        <v>195</v>
      </c>
      <c r="B162" s="103"/>
      <c r="C162" s="103"/>
      <c r="D162" s="103"/>
      <c r="E162" s="103"/>
      <c r="F162" s="103"/>
      <c r="G162" s="103"/>
      <c r="H162" s="103"/>
      <c r="I162" s="103"/>
      <c r="J162" s="103"/>
    </row>
    <row r="163" customFormat="false" ht="15" hidden="false" customHeight="false" outlineLevel="0" collapsed="false">
      <c r="A163" s="102" t="s">
        <v>205</v>
      </c>
      <c r="B163" s="103"/>
      <c r="C163" s="103"/>
      <c r="D163" s="103"/>
      <c r="E163" s="103"/>
      <c r="F163" s="103"/>
      <c r="G163" s="103"/>
      <c r="H163" s="103"/>
      <c r="I163" s="103"/>
      <c r="J163" s="103"/>
    </row>
    <row r="164" customFormat="false" ht="15" hidden="false" customHeight="false" outlineLevel="0" collapsed="false">
      <c r="A164" s="102" t="s">
        <v>409</v>
      </c>
      <c r="B164" s="103"/>
      <c r="C164" s="103"/>
      <c r="D164" s="103"/>
      <c r="E164" s="103"/>
      <c r="F164" s="103" t="s">
        <v>410</v>
      </c>
      <c r="G164" s="103"/>
      <c r="H164" s="103"/>
      <c r="I164" s="103" t="s">
        <v>411</v>
      </c>
      <c r="J164" s="103"/>
    </row>
    <row r="165" customFormat="false" ht="15" hidden="false" customHeight="false" outlineLevel="0" collapsed="false">
      <c r="A165" s="102" t="s">
        <v>223</v>
      </c>
      <c r="B165" s="103"/>
      <c r="C165" s="103"/>
      <c r="D165" s="103"/>
      <c r="E165" s="103"/>
      <c r="F165" s="103"/>
      <c r="G165" s="103"/>
      <c r="H165" s="103"/>
      <c r="I165" s="103"/>
      <c r="J165" s="103"/>
    </row>
    <row r="166" customFormat="false" ht="15" hidden="false" customHeight="false" outlineLevel="0" collapsed="false">
      <c r="A166" s="102" t="s">
        <v>233</v>
      </c>
      <c r="B166" s="103"/>
      <c r="C166" s="103"/>
      <c r="D166" s="103"/>
      <c r="E166" s="103"/>
      <c r="F166" s="103"/>
      <c r="G166" s="103"/>
      <c r="H166" s="103"/>
      <c r="I166" s="103"/>
      <c r="J166" s="103"/>
    </row>
    <row r="167" customFormat="false" ht="15" hidden="false" customHeight="false" outlineLevel="0" collapsed="false">
      <c r="A167" s="102" t="s">
        <v>243</v>
      </c>
      <c r="B167" s="103"/>
      <c r="C167" s="103"/>
      <c r="D167" s="103"/>
      <c r="E167" s="103"/>
      <c r="F167" s="103" t="s">
        <v>412</v>
      </c>
      <c r="G167" s="103"/>
      <c r="H167" s="103"/>
      <c r="I167" s="103" t="s">
        <v>413</v>
      </c>
      <c r="J167" s="103" t="s">
        <v>414</v>
      </c>
    </row>
    <row r="168" customFormat="false" ht="15" hidden="false" customHeight="false" outlineLevel="0" collapsed="false">
      <c r="A168" s="102" t="s">
        <v>250</v>
      </c>
      <c r="B168" s="103"/>
      <c r="C168" s="103"/>
      <c r="D168" s="103"/>
      <c r="E168" s="103"/>
      <c r="F168" s="103"/>
      <c r="G168" s="103"/>
      <c r="H168" s="103"/>
      <c r="I168" s="103" t="s">
        <v>415</v>
      </c>
      <c r="J168" s="103" t="s">
        <v>416</v>
      </c>
    </row>
    <row r="171" customFormat="false" ht="15" hidden="false" customHeight="false" outlineLevel="0" collapsed="false">
      <c r="A171" s="96" t="s">
        <v>417</v>
      </c>
    </row>
    <row r="172" customFormat="false" ht="15" hidden="false" customHeight="false" outlineLevel="0" collapsed="false">
      <c r="A172" s="101" t="s">
        <v>418</v>
      </c>
      <c r="B172" s="101" t="s">
        <v>168</v>
      </c>
      <c r="C172" s="101" t="s">
        <v>169</v>
      </c>
      <c r="D172" s="101" t="s">
        <v>170</v>
      </c>
      <c r="E172" s="101" t="s">
        <v>171</v>
      </c>
      <c r="F172" s="101" t="s">
        <v>172</v>
      </c>
      <c r="G172" s="101" t="s">
        <v>173</v>
      </c>
      <c r="H172" s="101" t="s">
        <v>174</v>
      </c>
      <c r="I172" s="101" t="s">
        <v>175</v>
      </c>
      <c r="J172" s="101" t="s">
        <v>176</v>
      </c>
    </row>
    <row r="173" customFormat="false" ht="15" hidden="false" customHeight="false" outlineLevel="0" collapsed="false">
      <c r="A173" s="102" t="s">
        <v>177</v>
      </c>
      <c r="B173" s="103" t="s">
        <v>419</v>
      </c>
      <c r="C173" s="103"/>
      <c r="D173" s="103"/>
      <c r="E173" s="103"/>
      <c r="F173" s="103"/>
      <c r="G173" s="103"/>
      <c r="H173" s="103"/>
      <c r="I173" s="103"/>
      <c r="J173" s="103"/>
    </row>
    <row r="174" customFormat="false" ht="15" hidden="false" customHeight="false" outlineLevel="0" collapsed="false">
      <c r="A174" s="102" t="s">
        <v>186</v>
      </c>
      <c r="B174" s="103"/>
      <c r="C174" s="103" t="s">
        <v>420</v>
      </c>
      <c r="D174" s="103"/>
      <c r="E174" s="103"/>
      <c r="F174" s="103"/>
      <c r="G174" s="103"/>
      <c r="H174" s="103"/>
      <c r="I174" s="103"/>
      <c r="J174" s="103"/>
    </row>
    <row r="175" customFormat="false" ht="15" hidden="false" customHeight="false" outlineLevel="0" collapsed="false">
      <c r="A175" s="102" t="s">
        <v>195</v>
      </c>
      <c r="B175" s="103"/>
      <c r="C175" s="103"/>
      <c r="D175" s="103"/>
      <c r="E175" s="103"/>
      <c r="F175" s="103"/>
      <c r="G175" s="103"/>
      <c r="H175" s="103"/>
      <c r="I175" s="103"/>
      <c r="J175" s="103"/>
    </row>
    <row r="176" customFormat="false" ht="15" hidden="false" customHeight="false" outlineLevel="0" collapsed="false">
      <c r="A176" s="102" t="s">
        <v>205</v>
      </c>
      <c r="B176" s="103"/>
      <c r="C176" s="103"/>
      <c r="D176" s="103"/>
      <c r="E176" s="103"/>
      <c r="F176" s="103"/>
      <c r="G176" s="103"/>
      <c r="H176" s="103"/>
      <c r="I176" s="103"/>
      <c r="J176" s="103"/>
    </row>
    <row r="177" customFormat="false" ht="15" hidden="false" customHeight="false" outlineLevel="0" collapsed="false">
      <c r="A177" s="102" t="s">
        <v>409</v>
      </c>
      <c r="B177" s="103"/>
      <c r="C177" s="103"/>
      <c r="D177" s="103"/>
      <c r="E177" s="103"/>
      <c r="F177" s="103" t="s">
        <v>410</v>
      </c>
      <c r="G177" s="103"/>
      <c r="H177" s="103"/>
      <c r="I177" s="103" t="s">
        <v>411</v>
      </c>
      <c r="J177" s="103"/>
    </row>
    <row r="178" customFormat="false" ht="15" hidden="false" customHeight="false" outlineLevel="0" collapsed="false">
      <c r="A178" s="102" t="s">
        <v>223</v>
      </c>
      <c r="B178" s="103"/>
      <c r="C178" s="103"/>
      <c r="D178" s="103"/>
      <c r="E178" s="103"/>
      <c r="F178" s="103"/>
      <c r="G178" s="103"/>
      <c r="H178" s="103"/>
      <c r="I178" s="103"/>
      <c r="J178" s="103"/>
    </row>
    <row r="179" customFormat="false" ht="15" hidden="false" customHeight="false" outlineLevel="0" collapsed="false">
      <c r="A179" s="102" t="s">
        <v>233</v>
      </c>
      <c r="B179" s="103"/>
      <c r="C179" s="103"/>
      <c r="D179" s="103"/>
      <c r="E179" s="103"/>
      <c r="F179" s="103"/>
      <c r="G179" s="103"/>
      <c r="H179" s="103"/>
      <c r="I179" s="103"/>
      <c r="J179" s="103"/>
    </row>
    <row r="180" customFormat="false" ht="15" hidden="false" customHeight="false" outlineLevel="0" collapsed="false">
      <c r="A180" s="102" t="s">
        <v>243</v>
      </c>
      <c r="B180" s="103"/>
      <c r="C180" s="103"/>
      <c r="D180" s="103"/>
      <c r="E180" s="103"/>
      <c r="F180" s="103" t="s">
        <v>421</v>
      </c>
      <c r="G180" s="103"/>
      <c r="H180" s="103"/>
      <c r="I180" s="103" t="s">
        <v>422</v>
      </c>
      <c r="J180" s="103" t="s">
        <v>423</v>
      </c>
    </row>
    <row r="181" customFormat="false" ht="15" hidden="false" customHeight="false" outlineLevel="0" collapsed="false">
      <c r="A181" s="102" t="s">
        <v>250</v>
      </c>
      <c r="B181" s="103"/>
      <c r="C181" s="103"/>
      <c r="D181" s="103"/>
      <c r="E181" s="103"/>
      <c r="F181" s="103"/>
      <c r="G181" s="103"/>
      <c r="H181" s="103"/>
      <c r="I181" s="103" t="s">
        <v>424</v>
      </c>
      <c r="J181" s="103" t="s">
        <v>425</v>
      </c>
    </row>
    <row r="184" customFormat="false" ht="15" hidden="false" customHeight="false" outlineLevel="0" collapsed="false">
      <c r="A184" s="96" t="s">
        <v>426</v>
      </c>
    </row>
    <row r="185" customFormat="false" ht="15" hidden="false" customHeight="false" outlineLevel="0" collapsed="false">
      <c r="A185" s="101" t="s">
        <v>427</v>
      </c>
      <c r="B185" s="101" t="s">
        <v>168</v>
      </c>
      <c r="C185" s="101" t="s">
        <v>169</v>
      </c>
      <c r="D185" s="101" t="s">
        <v>170</v>
      </c>
      <c r="E185" s="101" t="s">
        <v>171</v>
      </c>
      <c r="F185" s="101" t="s">
        <v>172</v>
      </c>
      <c r="G185" s="101" t="s">
        <v>173</v>
      </c>
      <c r="H185" s="101" t="s">
        <v>174</v>
      </c>
      <c r="I185" s="101" t="s">
        <v>175</v>
      </c>
      <c r="J185" s="101" t="s">
        <v>176</v>
      </c>
    </row>
    <row r="186" customFormat="false" ht="15" hidden="false" customHeight="false" outlineLevel="0" collapsed="false">
      <c r="A186" s="102" t="s">
        <v>177</v>
      </c>
      <c r="B186" s="103" t="s">
        <v>419</v>
      </c>
      <c r="C186" s="103"/>
      <c r="D186" s="103"/>
      <c r="E186" s="103"/>
      <c r="F186" s="103"/>
      <c r="G186" s="103"/>
      <c r="H186" s="103"/>
      <c r="I186" s="103"/>
      <c r="J186" s="103"/>
    </row>
    <row r="187" customFormat="false" ht="15" hidden="false" customHeight="false" outlineLevel="0" collapsed="false">
      <c r="A187" s="102" t="s">
        <v>186</v>
      </c>
      <c r="B187" s="103"/>
      <c r="C187" s="103" t="s">
        <v>420</v>
      </c>
      <c r="D187" s="103"/>
      <c r="E187" s="103"/>
      <c r="F187" s="103"/>
      <c r="G187" s="103"/>
      <c r="H187" s="103"/>
      <c r="I187" s="103"/>
      <c r="J187" s="103"/>
    </row>
    <row r="188" customFormat="false" ht="15" hidden="false" customHeight="false" outlineLevel="0" collapsed="false">
      <c r="A188" s="102" t="s">
        <v>195</v>
      </c>
      <c r="B188" s="103"/>
      <c r="C188" s="103"/>
      <c r="D188" s="103"/>
      <c r="E188" s="103"/>
      <c r="F188" s="103"/>
      <c r="G188" s="103"/>
      <c r="H188" s="103"/>
      <c r="I188" s="103"/>
      <c r="J188" s="103"/>
    </row>
    <row r="189" customFormat="false" ht="15" hidden="false" customHeight="false" outlineLevel="0" collapsed="false">
      <c r="A189" s="102" t="s">
        <v>205</v>
      </c>
      <c r="B189" s="103"/>
      <c r="C189" s="103"/>
      <c r="D189" s="103"/>
      <c r="E189" s="103"/>
      <c r="F189" s="103"/>
      <c r="G189" s="103"/>
      <c r="H189" s="103"/>
      <c r="I189" s="103"/>
      <c r="J189" s="103"/>
    </row>
    <row r="190" customFormat="false" ht="15" hidden="false" customHeight="false" outlineLevel="0" collapsed="false">
      <c r="A190" s="102" t="s">
        <v>409</v>
      </c>
      <c r="B190" s="103"/>
      <c r="C190" s="103"/>
      <c r="D190" s="103"/>
      <c r="E190" s="103"/>
      <c r="F190" s="103" t="s">
        <v>410</v>
      </c>
      <c r="G190" s="103"/>
      <c r="H190" s="103"/>
      <c r="I190" s="103" t="s">
        <v>428</v>
      </c>
      <c r="J190" s="103"/>
    </row>
    <row r="191" customFormat="false" ht="15" hidden="false" customHeight="false" outlineLevel="0" collapsed="false">
      <c r="A191" s="102" t="s">
        <v>223</v>
      </c>
      <c r="B191" s="103"/>
      <c r="C191" s="103"/>
      <c r="D191" s="103"/>
      <c r="E191" s="103"/>
      <c r="F191" s="103"/>
      <c r="G191" s="103"/>
      <c r="H191" s="103"/>
      <c r="I191" s="103"/>
      <c r="J191" s="103"/>
    </row>
    <row r="192" customFormat="false" ht="15" hidden="false" customHeight="false" outlineLevel="0" collapsed="false">
      <c r="A192" s="102" t="s">
        <v>233</v>
      </c>
      <c r="B192" s="103"/>
      <c r="C192" s="103"/>
      <c r="D192" s="103"/>
      <c r="E192" s="103"/>
      <c r="F192" s="103"/>
      <c r="G192" s="103"/>
      <c r="H192" s="103"/>
      <c r="I192" s="103"/>
      <c r="J192" s="103"/>
    </row>
    <row r="193" customFormat="false" ht="15" hidden="false" customHeight="false" outlineLevel="0" collapsed="false">
      <c r="A193" s="102" t="s">
        <v>243</v>
      </c>
      <c r="B193" s="103"/>
      <c r="C193" s="103"/>
      <c r="D193" s="103"/>
      <c r="E193" s="103"/>
      <c r="F193" s="103" t="s">
        <v>412</v>
      </c>
      <c r="G193" s="103"/>
      <c r="H193" s="103"/>
      <c r="I193" s="103" t="s">
        <v>429</v>
      </c>
      <c r="J193" s="103" t="s">
        <v>430</v>
      </c>
    </row>
    <row r="194" customFormat="false" ht="15" hidden="false" customHeight="false" outlineLevel="0" collapsed="false">
      <c r="A194" s="102" t="s">
        <v>250</v>
      </c>
      <c r="B194" s="103"/>
      <c r="C194" s="103"/>
      <c r="D194" s="103"/>
      <c r="E194" s="103"/>
      <c r="F194" s="103"/>
      <c r="G194" s="103"/>
      <c r="H194" s="103"/>
      <c r="I194" s="103" t="s">
        <v>424</v>
      </c>
      <c r="J194" s="103" t="s">
        <v>425</v>
      </c>
    </row>
    <row r="197" customFormat="false" ht="15" hidden="false" customHeight="false" outlineLevel="0" collapsed="false">
      <c r="A197" s="96" t="s">
        <v>431</v>
      </c>
    </row>
    <row r="198" customFormat="false" ht="15" hidden="false" customHeight="false" outlineLevel="0" collapsed="false">
      <c r="A198" s="101" t="s">
        <v>432</v>
      </c>
      <c r="B198" s="101" t="s">
        <v>168</v>
      </c>
      <c r="C198" s="101" t="s">
        <v>169</v>
      </c>
      <c r="D198" s="101" t="s">
        <v>170</v>
      </c>
      <c r="E198" s="101" t="s">
        <v>171</v>
      </c>
      <c r="F198" s="101" t="s">
        <v>172</v>
      </c>
      <c r="G198" s="101" t="s">
        <v>173</v>
      </c>
      <c r="H198" s="101" t="s">
        <v>174</v>
      </c>
      <c r="I198" s="101" t="s">
        <v>175</v>
      </c>
      <c r="J198" s="101" t="s">
        <v>176</v>
      </c>
    </row>
    <row r="199" customFormat="false" ht="15" hidden="false" customHeight="false" outlineLevel="0" collapsed="false">
      <c r="A199" s="102" t="s">
        <v>177</v>
      </c>
      <c r="B199" s="103" t="s">
        <v>407</v>
      </c>
      <c r="C199" s="103"/>
      <c r="D199" s="103"/>
      <c r="E199" s="103"/>
      <c r="F199" s="103"/>
      <c r="G199" s="103"/>
      <c r="H199" s="103"/>
      <c r="I199" s="103"/>
      <c r="J199" s="103"/>
    </row>
    <row r="200" customFormat="false" ht="15" hidden="false" customHeight="false" outlineLevel="0" collapsed="false">
      <c r="A200" s="102" t="s">
        <v>186</v>
      </c>
      <c r="B200" s="103"/>
      <c r="C200" s="103" t="s">
        <v>408</v>
      </c>
      <c r="D200" s="103"/>
      <c r="E200" s="103"/>
      <c r="F200" s="103"/>
      <c r="G200" s="103"/>
      <c r="H200" s="103"/>
      <c r="I200" s="103"/>
      <c r="J200" s="103"/>
    </row>
    <row r="201" customFormat="false" ht="15" hidden="false" customHeight="false" outlineLevel="0" collapsed="false">
      <c r="A201" s="102" t="s">
        <v>195</v>
      </c>
      <c r="B201" s="103"/>
      <c r="C201" s="103"/>
      <c r="D201" s="103"/>
      <c r="E201" s="103"/>
      <c r="F201" s="103"/>
      <c r="G201" s="103"/>
      <c r="H201" s="103"/>
      <c r="I201" s="103"/>
      <c r="J201" s="103"/>
    </row>
    <row r="202" customFormat="false" ht="15" hidden="false" customHeight="false" outlineLevel="0" collapsed="false">
      <c r="A202" s="102" t="s">
        <v>205</v>
      </c>
      <c r="B202" s="103"/>
      <c r="C202" s="103"/>
      <c r="D202" s="103"/>
      <c r="E202" s="103"/>
      <c r="F202" s="103"/>
      <c r="G202" s="103"/>
      <c r="H202" s="103"/>
      <c r="I202" s="103"/>
      <c r="J202" s="103"/>
    </row>
    <row r="203" customFormat="false" ht="15" hidden="false" customHeight="false" outlineLevel="0" collapsed="false">
      <c r="A203" s="102" t="s">
        <v>409</v>
      </c>
      <c r="B203" s="103"/>
      <c r="C203" s="103"/>
      <c r="D203" s="103"/>
      <c r="E203" s="103"/>
      <c r="F203" s="103" t="s">
        <v>410</v>
      </c>
      <c r="G203" s="103"/>
      <c r="H203" s="103"/>
      <c r="I203" s="103" t="s">
        <v>411</v>
      </c>
      <c r="J203" s="103"/>
    </row>
    <row r="204" customFormat="false" ht="15" hidden="false" customHeight="false" outlineLevel="0" collapsed="false">
      <c r="A204" s="102" t="s">
        <v>223</v>
      </c>
      <c r="B204" s="103"/>
      <c r="C204" s="103"/>
      <c r="D204" s="103"/>
      <c r="E204" s="103"/>
      <c r="F204" s="103"/>
      <c r="G204" s="103"/>
      <c r="H204" s="103"/>
      <c r="I204" s="103"/>
      <c r="J204" s="103"/>
    </row>
    <row r="205" customFormat="false" ht="15" hidden="false" customHeight="false" outlineLevel="0" collapsed="false">
      <c r="A205" s="102" t="s">
        <v>233</v>
      </c>
      <c r="B205" s="103"/>
      <c r="C205" s="103"/>
      <c r="D205" s="103"/>
      <c r="E205" s="103"/>
      <c r="F205" s="103"/>
      <c r="G205" s="103"/>
      <c r="H205" s="103"/>
      <c r="I205" s="103"/>
      <c r="J205" s="103"/>
    </row>
    <row r="206" customFormat="false" ht="15" hidden="false" customHeight="false" outlineLevel="0" collapsed="false">
      <c r="A206" s="102" t="s">
        <v>243</v>
      </c>
      <c r="B206" s="103"/>
      <c r="C206" s="103"/>
      <c r="D206" s="103"/>
      <c r="E206" s="103"/>
      <c r="F206" s="103" t="s">
        <v>412</v>
      </c>
      <c r="G206" s="103"/>
      <c r="H206" s="103"/>
      <c r="I206" s="103" t="s">
        <v>413</v>
      </c>
      <c r="J206" s="103" t="s">
        <v>433</v>
      </c>
    </row>
    <row r="207" customFormat="false" ht="15" hidden="false" customHeight="false" outlineLevel="0" collapsed="false">
      <c r="A207" s="102" t="s">
        <v>250</v>
      </c>
      <c r="B207" s="103"/>
      <c r="C207" s="103"/>
      <c r="D207" s="103"/>
      <c r="E207" s="103"/>
      <c r="F207" s="103"/>
      <c r="G207" s="103"/>
      <c r="H207" s="103"/>
      <c r="I207" s="103" t="s">
        <v>434</v>
      </c>
      <c r="J207" s="103" t="s">
        <v>416</v>
      </c>
    </row>
    <row r="210" customFormat="false" ht="15" hidden="false" customHeight="false" outlineLevel="0" collapsed="false">
      <c r="A210" s="96" t="s">
        <v>435</v>
      </c>
    </row>
    <row r="211" customFormat="false" ht="15" hidden="false" customHeight="false" outlineLevel="0" collapsed="false">
      <c r="A211" s="101" t="s">
        <v>436</v>
      </c>
      <c r="B211" s="101" t="s">
        <v>168</v>
      </c>
      <c r="C211" s="101" t="s">
        <v>169</v>
      </c>
      <c r="D211" s="101" t="s">
        <v>170</v>
      </c>
      <c r="E211" s="101" t="s">
        <v>171</v>
      </c>
      <c r="F211" s="101" t="s">
        <v>172</v>
      </c>
      <c r="G211" s="101" t="s">
        <v>173</v>
      </c>
      <c r="H211" s="101" t="s">
        <v>174</v>
      </c>
      <c r="I211" s="101" t="s">
        <v>175</v>
      </c>
      <c r="J211" s="101" t="s">
        <v>176</v>
      </c>
    </row>
    <row r="212" customFormat="false" ht="15" hidden="false" customHeight="false" outlineLevel="0" collapsed="false">
      <c r="A212" s="102" t="s">
        <v>177</v>
      </c>
      <c r="B212" s="103" t="s">
        <v>437</v>
      </c>
      <c r="C212" s="103"/>
      <c r="D212" s="103"/>
      <c r="E212" s="103"/>
      <c r="F212" s="103"/>
      <c r="G212" s="103"/>
      <c r="H212" s="103"/>
      <c r="I212" s="103"/>
      <c r="J212" s="103"/>
    </row>
    <row r="213" customFormat="false" ht="15" hidden="false" customHeight="false" outlineLevel="0" collapsed="false">
      <c r="A213" s="102" t="s">
        <v>186</v>
      </c>
      <c r="B213" s="103"/>
      <c r="C213" s="103" t="s">
        <v>438</v>
      </c>
      <c r="D213" s="103"/>
      <c r="E213" s="103"/>
      <c r="F213" s="103"/>
      <c r="G213" s="103"/>
      <c r="H213" s="103"/>
      <c r="I213" s="103"/>
      <c r="J213" s="103"/>
    </row>
    <row r="214" customFormat="false" ht="15" hidden="false" customHeight="false" outlineLevel="0" collapsed="false">
      <c r="A214" s="102" t="s">
        <v>195</v>
      </c>
      <c r="B214" s="103"/>
      <c r="C214" s="103"/>
      <c r="D214" s="103"/>
      <c r="E214" s="103"/>
      <c r="F214" s="103"/>
      <c r="G214" s="103"/>
      <c r="H214" s="103"/>
      <c r="I214" s="103"/>
      <c r="J214" s="103"/>
    </row>
    <row r="215" customFormat="false" ht="15" hidden="false" customHeight="false" outlineLevel="0" collapsed="false">
      <c r="A215" s="102" t="s">
        <v>205</v>
      </c>
      <c r="B215" s="103"/>
      <c r="C215" s="103"/>
      <c r="D215" s="103"/>
      <c r="E215" s="103"/>
      <c r="F215" s="103"/>
      <c r="G215" s="103"/>
      <c r="H215" s="103"/>
      <c r="I215" s="103"/>
      <c r="J215" s="103"/>
    </row>
    <row r="216" customFormat="false" ht="15" hidden="false" customHeight="false" outlineLevel="0" collapsed="false">
      <c r="A216" s="102" t="s">
        <v>409</v>
      </c>
      <c r="B216" s="103"/>
      <c r="C216" s="103"/>
      <c r="D216" s="103"/>
      <c r="E216" s="103"/>
      <c r="F216" s="103" t="s">
        <v>410</v>
      </c>
      <c r="G216" s="103"/>
      <c r="H216" s="103"/>
      <c r="I216" s="103" t="s">
        <v>413</v>
      </c>
      <c r="J216" s="103"/>
    </row>
    <row r="217" customFormat="false" ht="15" hidden="false" customHeight="false" outlineLevel="0" collapsed="false">
      <c r="A217" s="102" t="s">
        <v>223</v>
      </c>
      <c r="B217" s="103"/>
      <c r="C217" s="103"/>
      <c r="D217" s="103"/>
      <c r="E217" s="103"/>
      <c r="F217" s="103"/>
      <c r="G217" s="103"/>
      <c r="H217" s="103"/>
      <c r="I217" s="103"/>
      <c r="J217" s="103"/>
    </row>
    <row r="218" customFormat="false" ht="15" hidden="false" customHeight="false" outlineLevel="0" collapsed="false">
      <c r="A218" s="102" t="s">
        <v>233</v>
      </c>
      <c r="B218" s="103"/>
      <c r="C218" s="103"/>
      <c r="D218" s="103"/>
      <c r="E218" s="103"/>
      <c r="F218" s="103"/>
      <c r="G218" s="103"/>
      <c r="H218" s="103"/>
      <c r="I218" s="103"/>
      <c r="J218" s="103"/>
    </row>
    <row r="219" customFormat="false" ht="15" hidden="false" customHeight="false" outlineLevel="0" collapsed="false">
      <c r="A219" s="102" t="s">
        <v>243</v>
      </c>
      <c r="B219" s="103"/>
      <c r="C219" s="103"/>
      <c r="D219" s="103"/>
      <c r="E219" s="103"/>
      <c r="F219" s="103" t="s">
        <v>439</v>
      </c>
      <c r="G219" s="103"/>
      <c r="H219" s="103"/>
      <c r="I219" s="103" t="s">
        <v>440</v>
      </c>
      <c r="J219" s="103" t="s">
        <v>441</v>
      </c>
    </row>
    <row r="220" customFormat="false" ht="15" hidden="false" customHeight="false" outlineLevel="0" collapsed="false">
      <c r="A220" s="102" t="s">
        <v>250</v>
      </c>
      <c r="B220" s="103"/>
      <c r="C220" s="103"/>
      <c r="D220" s="103"/>
      <c r="E220" s="103"/>
      <c r="F220" s="103"/>
      <c r="G220" s="103"/>
      <c r="H220" s="103"/>
      <c r="I220" s="103" t="s">
        <v>442</v>
      </c>
      <c r="J220" s="103" t="s">
        <v>443</v>
      </c>
    </row>
    <row r="223" customFormat="false" ht="15" hidden="false" customHeight="false" outlineLevel="0" collapsed="false">
      <c r="A223" s="96" t="s">
        <v>444</v>
      </c>
    </row>
    <row r="224" customFormat="false" ht="15" hidden="false" customHeight="false" outlineLevel="0" collapsed="false">
      <c r="A224" s="101" t="s">
        <v>445</v>
      </c>
      <c r="B224" s="101" t="s">
        <v>168</v>
      </c>
      <c r="C224" s="101" t="s">
        <v>169</v>
      </c>
      <c r="D224" s="101" t="s">
        <v>170</v>
      </c>
      <c r="E224" s="101" t="s">
        <v>171</v>
      </c>
      <c r="F224" s="101" t="s">
        <v>172</v>
      </c>
      <c r="G224" s="101" t="s">
        <v>173</v>
      </c>
      <c r="H224" s="101" t="s">
        <v>174</v>
      </c>
      <c r="I224" s="101" t="s">
        <v>175</v>
      </c>
      <c r="J224" s="101" t="s">
        <v>176</v>
      </c>
    </row>
    <row r="225" customFormat="false" ht="15" hidden="false" customHeight="false" outlineLevel="0" collapsed="false">
      <c r="A225" s="102" t="s">
        <v>177</v>
      </c>
      <c r="B225" s="103" t="s">
        <v>437</v>
      </c>
      <c r="C225" s="103"/>
      <c r="D225" s="103"/>
      <c r="E225" s="103"/>
      <c r="F225" s="103"/>
      <c r="G225" s="103"/>
      <c r="H225" s="103"/>
      <c r="I225" s="103"/>
      <c r="J225" s="103"/>
    </row>
    <row r="226" customFormat="false" ht="15" hidden="false" customHeight="false" outlineLevel="0" collapsed="false">
      <c r="A226" s="102" t="s">
        <v>186</v>
      </c>
      <c r="B226" s="103"/>
      <c r="C226" s="103" t="s">
        <v>438</v>
      </c>
      <c r="D226" s="103"/>
      <c r="E226" s="103"/>
      <c r="F226" s="103"/>
      <c r="G226" s="103"/>
      <c r="H226" s="103"/>
      <c r="I226" s="103"/>
      <c r="J226" s="103"/>
    </row>
    <row r="227" customFormat="false" ht="15" hidden="false" customHeight="false" outlineLevel="0" collapsed="false">
      <c r="A227" s="102" t="s">
        <v>195</v>
      </c>
      <c r="B227" s="103"/>
      <c r="C227" s="103"/>
      <c r="D227" s="103"/>
      <c r="E227" s="103"/>
      <c r="F227" s="103"/>
      <c r="G227" s="103"/>
      <c r="H227" s="103"/>
      <c r="I227" s="103"/>
      <c r="J227" s="103"/>
    </row>
    <row r="228" customFormat="false" ht="15" hidden="false" customHeight="false" outlineLevel="0" collapsed="false">
      <c r="A228" s="102" t="s">
        <v>205</v>
      </c>
      <c r="B228" s="103"/>
      <c r="C228" s="103"/>
      <c r="D228" s="103"/>
      <c r="E228" s="103"/>
      <c r="F228" s="103"/>
      <c r="G228" s="103"/>
      <c r="H228" s="103"/>
      <c r="I228" s="103"/>
      <c r="J228" s="103"/>
    </row>
    <row r="229" customFormat="false" ht="15" hidden="false" customHeight="false" outlineLevel="0" collapsed="false">
      <c r="A229" s="102" t="s">
        <v>409</v>
      </c>
      <c r="B229" s="103"/>
      <c r="C229" s="103"/>
      <c r="D229" s="103"/>
      <c r="E229" s="103"/>
      <c r="F229" s="103" t="s">
        <v>410</v>
      </c>
      <c r="G229" s="103"/>
      <c r="H229" s="103"/>
      <c r="I229" s="103" t="s">
        <v>446</v>
      </c>
      <c r="J229" s="103"/>
    </row>
    <row r="230" customFormat="false" ht="15" hidden="false" customHeight="false" outlineLevel="0" collapsed="false">
      <c r="A230" s="102" t="s">
        <v>223</v>
      </c>
      <c r="B230" s="103"/>
      <c r="C230" s="103"/>
      <c r="D230" s="103"/>
      <c r="E230" s="103"/>
      <c r="F230" s="103"/>
      <c r="G230" s="103"/>
      <c r="H230" s="103"/>
      <c r="I230" s="103"/>
      <c r="J230" s="103"/>
    </row>
    <row r="231" customFormat="false" ht="15" hidden="false" customHeight="false" outlineLevel="0" collapsed="false">
      <c r="A231" s="102" t="s">
        <v>233</v>
      </c>
      <c r="B231" s="103"/>
      <c r="C231" s="103"/>
      <c r="D231" s="103"/>
      <c r="E231" s="103"/>
      <c r="F231" s="103"/>
      <c r="G231" s="103"/>
      <c r="H231" s="103"/>
      <c r="I231" s="103"/>
      <c r="J231" s="103"/>
    </row>
    <row r="232" customFormat="false" ht="15" hidden="false" customHeight="false" outlineLevel="0" collapsed="false">
      <c r="A232" s="102" t="s">
        <v>243</v>
      </c>
      <c r="B232" s="103"/>
      <c r="C232" s="103"/>
      <c r="D232" s="103"/>
      <c r="E232" s="103"/>
      <c r="F232" s="103" t="s">
        <v>447</v>
      </c>
      <c r="G232" s="103"/>
      <c r="H232" s="103"/>
      <c r="I232" s="103" t="s">
        <v>448</v>
      </c>
      <c r="J232" s="103" t="s">
        <v>449</v>
      </c>
    </row>
    <row r="233" customFormat="false" ht="15" hidden="false" customHeight="false" outlineLevel="0" collapsed="false">
      <c r="A233" s="102" t="s">
        <v>250</v>
      </c>
      <c r="B233" s="103"/>
      <c r="C233" s="103"/>
      <c r="D233" s="103"/>
      <c r="E233" s="103"/>
      <c r="F233" s="103"/>
      <c r="G233" s="103"/>
      <c r="H233" s="103"/>
      <c r="I233" s="103" t="s">
        <v>450</v>
      </c>
      <c r="J233" s="103" t="s">
        <v>451</v>
      </c>
    </row>
    <row r="236" customFormat="false" ht="15" hidden="false" customHeight="false" outlineLevel="0" collapsed="false">
      <c r="A236" s="96" t="s">
        <v>452</v>
      </c>
    </row>
    <row r="237" customFormat="false" ht="15" hidden="false" customHeight="false" outlineLevel="0" collapsed="false">
      <c r="A237" s="101" t="s">
        <v>453</v>
      </c>
      <c r="B237" s="101" t="s">
        <v>168</v>
      </c>
      <c r="C237" s="101" t="s">
        <v>169</v>
      </c>
      <c r="D237" s="101" t="s">
        <v>170</v>
      </c>
      <c r="E237" s="101" t="s">
        <v>171</v>
      </c>
      <c r="F237" s="101" t="s">
        <v>172</v>
      </c>
      <c r="G237" s="101" t="s">
        <v>173</v>
      </c>
      <c r="H237" s="101" t="s">
        <v>174</v>
      </c>
      <c r="I237" s="101" t="s">
        <v>175</v>
      </c>
      <c r="J237" s="101" t="s">
        <v>176</v>
      </c>
    </row>
    <row r="238" customFormat="false" ht="15" hidden="false" customHeight="false" outlineLevel="0" collapsed="false">
      <c r="A238" s="102" t="s">
        <v>177</v>
      </c>
      <c r="B238" s="103" t="s">
        <v>454</v>
      </c>
      <c r="C238" s="103"/>
      <c r="D238" s="103"/>
      <c r="E238" s="103"/>
      <c r="F238" s="103"/>
      <c r="G238" s="103"/>
      <c r="H238" s="103"/>
      <c r="I238" s="103"/>
      <c r="J238" s="103"/>
    </row>
    <row r="239" customFormat="false" ht="15" hidden="false" customHeight="false" outlineLevel="0" collapsed="false">
      <c r="A239" s="102" t="s">
        <v>186</v>
      </c>
      <c r="B239" s="103"/>
      <c r="C239" s="103" t="s">
        <v>455</v>
      </c>
      <c r="D239" s="103"/>
      <c r="E239" s="103"/>
      <c r="F239" s="103"/>
      <c r="G239" s="103"/>
      <c r="H239" s="103"/>
      <c r="I239" s="103"/>
      <c r="J239" s="103"/>
    </row>
    <row r="240" customFormat="false" ht="15" hidden="false" customHeight="false" outlineLevel="0" collapsed="false">
      <c r="A240" s="102" t="s">
        <v>195</v>
      </c>
      <c r="B240" s="103"/>
      <c r="C240" s="103"/>
      <c r="D240" s="103"/>
      <c r="E240" s="103"/>
      <c r="F240" s="103"/>
      <c r="G240" s="103"/>
      <c r="H240" s="103"/>
      <c r="I240" s="103"/>
      <c r="J240" s="103"/>
    </row>
    <row r="241" customFormat="false" ht="15" hidden="false" customHeight="false" outlineLevel="0" collapsed="false">
      <c r="A241" s="102" t="s">
        <v>205</v>
      </c>
      <c r="B241" s="103"/>
      <c r="C241" s="103"/>
      <c r="D241" s="103"/>
      <c r="E241" s="103"/>
      <c r="F241" s="103"/>
      <c r="G241" s="103"/>
      <c r="H241" s="103"/>
      <c r="I241" s="103"/>
      <c r="J241" s="103"/>
    </row>
    <row r="242" customFormat="false" ht="15" hidden="false" customHeight="false" outlineLevel="0" collapsed="false">
      <c r="A242" s="102" t="s">
        <v>409</v>
      </c>
      <c r="B242" s="103"/>
      <c r="C242" s="103"/>
      <c r="D242" s="103"/>
      <c r="E242" s="103"/>
      <c r="F242" s="103" t="s">
        <v>410</v>
      </c>
      <c r="G242" s="103"/>
      <c r="H242" s="103"/>
      <c r="I242" s="103" t="s">
        <v>456</v>
      </c>
      <c r="J242" s="103"/>
    </row>
    <row r="243" customFormat="false" ht="15" hidden="false" customHeight="false" outlineLevel="0" collapsed="false">
      <c r="A243" s="102" t="s">
        <v>223</v>
      </c>
      <c r="B243" s="103"/>
      <c r="C243" s="103"/>
      <c r="D243" s="103"/>
      <c r="E243" s="103"/>
      <c r="F243" s="103"/>
      <c r="G243" s="103"/>
      <c r="H243" s="103"/>
      <c r="I243" s="103"/>
      <c r="J243" s="103"/>
    </row>
    <row r="244" customFormat="false" ht="15" hidden="false" customHeight="false" outlineLevel="0" collapsed="false">
      <c r="A244" s="102" t="s">
        <v>233</v>
      </c>
      <c r="B244" s="103"/>
      <c r="C244" s="103"/>
      <c r="D244" s="103"/>
      <c r="E244" s="103"/>
      <c r="F244" s="103"/>
      <c r="G244" s="103"/>
      <c r="H244" s="103"/>
      <c r="I244" s="103"/>
      <c r="J244" s="103"/>
    </row>
    <row r="245" customFormat="false" ht="15" hidden="false" customHeight="false" outlineLevel="0" collapsed="false">
      <c r="A245" s="102" t="s">
        <v>243</v>
      </c>
      <c r="B245" s="103"/>
      <c r="C245" s="103"/>
      <c r="D245" s="103"/>
      <c r="E245" s="103"/>
      <c r="F245" s="103" t="s">
        <v>457</v>
      </c>
      <c r="G245" s="103"/>
      <c r="H245" s="103"/>
      <c r="I245" s="103" t="s">
        <v>458</v>
      </c>
      <c r="J245" s="103" t="s">
        <v>459</v>
      </c>
    </row>
    <row r="246" customFormat="false" ht="15" hidden="false" customHeight="false" outlineLevel="0" collapsed="false">
      <c r="A246" s="102" t="s">
        <v>250</v>
      </c>
      <c r="B246" s="103"/>
      <c r="C246" s="103"/>
      <c r="D246" s="103"/>
      <c r="E246" s="103"/>
      <c r="F246" s="103"/>
      <c r="G246" s="103"/>
      <c r="H246" s="103"/>
      <c r="I246" s="103" t="s">
        <v>460</v>
      </c>
      <c r="J246" s="103" t="s">
        <v>461</v>
      </c>
    </row>
    <row r="249" customFormat="false" ht="15" hidden="false" customHeight="false" outlineLevel="0" collapsed="false">
      <c r="A249" s="96" t="s">
        <v>462</v>
      </c>
    </row>
    <row r="250" customFormat="false" ht="15" hidden="false" customHeight="false" outlineLevel="0" collapsed="false">
      <c r="A250" s="101" t="s">
        <v>463</v>
      </c>
      <c r="B250" s="101" t="s">
        <v>168</v>
      </c>
      <c r="C250" s="101" t="s">
        <v>169</v>
      </c>
      <c r="D250" s="101" t="s">
        <v>170</v>
      </c>
      <c r="E250" s="101" t="s">
        <v>171</v>
      </c>
      <c r="F250" s="101" t="s">
        <v>172</v>
      </c>
      <c r="G250" s="101" t="s">
        <v>173</v>
      </c>
      <c r="H250" s="101" t="s">
        <v>174</v>
      </c>
      <c r="I250" s="101" t="s">
        <v>175</v>
      </c>
      <c r="J250" s="101" t="s">
        <v>176</v>
      </c>
    </row>
    <row r="251" customFormat="false" ht="15" hidden="false" customHeight="false" outlineLevel="0" collapsed="false">
      <c r="A251" s="102" t="s">
        <v>177</v>
      </c>
      <c r="B251" s="103" t="s">
        <v>437</v>
      </c>
      <c r="C251" s="103"/>
      <c r="D251" s="103"/>
      <c r="E251" s="103"/>
      <c r="F251" s="103"/>
      <c r="G251" s="103"/>
      <c r="H251" s="103"/>
      <c r="I251" s="103"/>
      <c r="J251" s="103"/>
    </row>
    <row r="252" customFormat="false" ht="15" hidden="false" customHeight="false" outlineLevel="0" collapsed="false">
      <c r="A252" s="102" t="s">
        <v>186</v>
      </c>
      <c r="B252" s="103"/>
      <c r="C252" s="103" t="s">
        <v>464</v>
      </c>
      <c r="D252" s="103"/>
      <c r="E252" s="103"/>
      <c r="F252" s="103"/>
      <c r="G252" s="103"/>
      <c r="H252" s="103"/>
      <c r="I252" s="103"/>
      <c r="J252" s="103"/>
    </row>
    <row r="253" customFormat="false" ht="15" hidden="false" customHeight="false" outlineLevel="0" collapsed="false">
      <c r="A253" s="102" t="s">
        <v>195</v>
      </c>
      <c r="B253" s="103"/>
      <c r="C253" s="103"/>
      <c r="D253" s="103"/>
      <c r="E253" s="103"/>
      <c r="F253" s="103"/>
      <c r="G253" s="103"/>
      <c r="H253" s="103"/>
      <c r="I253" s="103"/>
      <c r="J253" s="103"/>
    </row>
    <row r="254" customFormat="false" ht="15" hidden="false" customHeight="false" outlineLevel="0" collapsed="false">
      <c r="A254" s="102" t="s">
        <v>205</v>
      </c>
      <c r="B254" s="103"/>
      <c r="C254" s="103"/>
      <c r="D254" s="103"/>
      <c r="E254" s="103"/>
      <c r="F254" s="103"/>
      <c r="G254" s="103"/>
      <c r="H254" s="103"/>
      <c r="I254" s="103"/>
      <c r="J254" s="103"/>
    </row>
    <row r="255" customFormat="false" ht="15" hidden="false" customHeight="false" outlineLevel="0" collapsed="false">
      <c r="A255" s="102" t="s">
        <v>409</v>
      </c>
      <c r="B255" s="103"/>
      <c r="C255" s="103"/>
      <c r="D255" s="103"/>
      <c r="E255" s="103"/>
      <c r="F255" s="103" t="s">
        <v>410</v>
      </c>
      <c r="G255" s="103"/>
      <c r="H255" s="103"/>
      <c r="I255" s="103" t="s">
        <v>465</v>
      </c>
      <c r="J255" s="103"/>
    </row>
    <row r="256" customFormat="false" ht="15" hidden="false" customHeight="false" outlineLevel="0" collapsed="false">
      <c r="A256" s="102" t="s">
        <v>223</v>
      </c>
      <c r="B256" s="103"/>
      <c r="C256" s="103"/>
      <c r="D256" s="103"/>
      <c r="E256" s="103"/>
      <c r="F256" s="103"/>
      <c r="G256" s="103"/>
      <c r="H256" s="103"/>
      <c r="I256" s="103"/>
      <c r="J256" s="103"/>
    </row>
    <row r="257" customFormat="false" ht="15" hidden="false" customHeight="false" outlineLevel="0" collapsed="false">
      <c r="A257" s="102" t="s">
        <v>233</v>
      </c>
      <c r="B257" s="103"/>
      <c r="C257" s="103"/>
      <c r="D257" s="103"/>
      <c r="E257" s="103"/>
      <c r="F257" s="103"/>
      <c r="G257" s="103"/>
      <c r="H257" s="103"/>
      <c r="I257" s="103"/>
      <c r="J257" s="103"/>
    </row>
    <row r="258" customFormat="false" ht="15" hidden="false" customHeight="false" outlineLevel="0" collapsed="false">
      <c r="A258" s="102" t="s">
        <v>243</v>
      </c>
      <c r="B258" s="103"/>
      <c r="C258" s="103"/>
      <c r="D258" s="103"/>
      <c r="E258" s="103"/>
      <c r="F258" s="103" t="s">
        <v>466</v>
      </c>
      <c r="G258" s="103"/>
      <c r="H258" s="103"/>
      <c r="I258" s="103" t="s">
        <v>467</v>
      </c>
      <c r="J258" s="103" t="s">
        <v>468</v>
      </c>
    </row>
    <row r="259" customFormat="false" ht="15" hidden="false" customHeight="false" outlineLevel="0" collapsed="false">
      <c r="A259" s="102" t="s">
        <v>250</v>
      </c>
      <c r="B259" s="103"/>
      <c r="C259" s="103"/>
      <c r="D259" s="103"/>
      <c r="E259" s="103"/>
      <c r="F259" s="103"/>
      <c r="G259" s="103"/>
      <c r="H259" s="103"/>
      <c r="I259" s="103" t="s">
        <v>469</v>
      </c>
      <c r="J259" s="103" t="s">
        <v>470</v>
      </c>
    </row>
    <row r="262" customFormat="false" ht="15" hidden="false" customHeight="false" outlineLevel="0" collapsed="false">
      <c r="A262" s="96" t="s">
        <v>471</v>
      </c>
    </row>
    <row r="263" customFormat="false" ht="15" hidden="false" customHeight="false" outlineLevel="0" collapsed="false">
      <c r="A263" s="101" t="s">
        <v>472</v>
      </c>
      <c r="B263" s="101" t="s">
        <v>168</v>
      </c>
      <c r="C263" s="101" t="s">
        <v>169</v>
      </c>
      <c r="D263" s="101" t="s">
        <v>170</v>
      </c>
      <c r="E263" s="101" t="s">
        <v>171</v>
      </c>
      <c r="F263" s="101" t="s">
        <v>172</v>
      </c>
      <c r="G263" s="101" t="s">
        <v>173</v>
      </c>
      <c r="H263" s="101" t="s">
        <v>174</v>
      </c>
      <c r="I263" s="101" t="s">
        <v>175</v>
      </c>
      <c r="J263" s="101" t="s">
        <v>176</v>
      </c>
    </row>
    <row r="264" customFormat="false" ht="15" hidden="false" customHeight="false" outlineLevel="0" collapsed="false">
      <c r="A264" s="102" t="s">
        <v>177</v>
      </c>
      <c r="B264" s="103" t="s">
        <v>437</v>
      </c>
      <c r="C264" s="103"/>
      <c r="D264" s="103"/>
      <c r="E264" s="103"/>
      <c r="F264" s="103"/>
      <c r="G264" s="103"/>
      <c r="H264" s="103"/>
      <c r="I264" s="103"/>
      <c r="J264" s="103"/>
    </row>
    <row r="265" customFormat="false" ht="15" hidden="false" customHeight="false" outlineLevel="0" collapsed="false">
      <c r="A265" s="102" t="s">
        <v>186</v>
      </c>
      <c r="B265" s="103"/>
      <c r="C265" s="103" t="s">
        <v>464</v>
      </c>
      <c r="D265" s="103"/>
      <c r="E265" s="103"/>
      <c r="F265" s="103"/>
      <c r="G265" s="103"/>
      <c r="H265" s="103"/>
      <c r="I265" s="103"/>
      <c r="J265" s="103"/>
    </row>
    <row r="266" customFormat="false" ht="15" hidden="false" customHeight="false" outlineLevel="0" collapsed="false">
      <c r="A266" s="102" t="s">
        <v>195</v>
      </c>
      <c r="B266" s="103"/>
      <c r="C266" s="103"/>
      <c r="D266" s="103"/>
      <c r="E266" s="103"/>
      <c r="F266" s="103"/>
      <c r="G266" s="103"/>
      <c r="H266" s="103"/>
      <c r="I266" s="103"/>
      <c r="J266" s="103"/>
    </row>
    <row r="267" customFormat="false" ht="15" hidden="false" customHeight="false" outlineLevel="0" collapsed="false">
      <c r="A267" s="102" t="s">
        <v>205</v>
      </c>
      <c r="B267" s="103"/>
      <c r="C267" s="103"/>
      <c r="D267" s="103"/>
      <c r="E267" s="103"/>
      <c r="F267" s="103"/>
      <c r="G267" s="103"/>
      <c r="H267" s="103"/>
      <c r="I267" s="103"/>
      <c r="J267" s="103"/>
    </row>
    <row r="268" customFormat="false" ht="15" hidden="false" customHeight="false" outlineLevel="0" collapsed="false">
      <c r="A268" s="102" t="s">
        <v>409</v>
      </c>
      <c r="B268" s="103"/>
      <c r="C268" s="103"/>
      <c r="D268" s="103"/>
      <c r="E268" s="103"/>
      <c r="F268" s="103" t="s">
        <v>410</v>
      </c>
      <c r="G268" s="103"/>
      <c r="H268" s="103"/>
      <c r="I268" s="103" t="s">
        <v>473</v>
      </c>
      <c r="J268" s="103"/>
    </row>
    <row r="269" customFormat="false" ht="15" hidden="false" customHeight="false" outlineLevel="0" collapsed="false">
      <c r="A269" s="102" t="s">
        <v>223</v>
      </c>
      <c r="B269" s="103"/>
      <c r="C269" s="103"/>
      <c r="D269" s="103"/>
      <c r="E269" s="103"/>
      <c r="F269" s="103"/>
      <c r="G269" s="103"/>
      <c r="H269" s="103"/>
      <c r="I269" s="103"/>
      <c r="J269" s="103"/>
    </row>
    <row r="270" customFormat="false" ht="15" hidden="false" customHeight="false" outlineLevel="0" collapsed="false">
      <c r="A270" s="102" t="s">
        <v>233</v>
      </c>
      <c r="B270" s="103"/>
      <c r="C270" s="103"/>
      <c r="D270" s="103"/>
      <c r="E270" s="103"/>
      <c r="F270" s="103"/>
      <c r="G270" s="103"/>
      <c r="H270" s="103"/>
      <c r="I270" s="103"/>
      <c r="J270" s="103"/>
    </row>
    <row r="271" customFormat="false" ht="15" hidden="false" customHeight="false" outlineLevel="0" collapsed="false">
      <c r="A271" s="102" t="s">
        <v>243</v>
      </c>
      <c r="B271" s="103"/>
      <c r="C271" s="103"/>
      <c r="D271" s="103"/>
      <c r="E271" s="103"/>
      <c r="F271" s="103" t="s">
        <v>474</v>
      </c>
      <c r="G271" s="103"/>
      <c r="H271" s="103"/>
      <c r="I271" s="103" t="s">
        <v>475</v>
      </c>
      <c r="J271" s="103" t="s">
        <v>476</v>
      </c>
    </row>
    <row r="272" customFormat="false" ht="15" hidden="false" customHeight="false" outlineLevel="0" collapsed="false">
      <c r="A272" s="102" t="s">
        <v>250</v>
      </c>
      <c r="B272" s="103"/>
      <c r="C272" s="103"/>
      <c r="D272" s="103"/>
      <c r="E272" s="103"/>
      <c r="F272" s="103"/>
      <c r="G272" s="103"/>
      <c r="H272" s="103"/>
      <c r="I272" s="103" t="s">
        <v>477</v>
      </c>
      <c r="J272" s="103" t="s">
        <v>478</v>
      </c>
    </row>
    <row r="275" customFormat="false" ht="15" hidden="false" customHeight="false" outlineLevel="0" collapsed="false">
      <c r="A275" s="96" t="s">
        <v>479</v>
      </c>
    </row>
    <row r="276" customFormat="false" ht="15" hidden="false" customHeight="false" outlineLevel="0" collapsed="false">
      <c r="A276" s="101" t="s">
        <v>480</v>
      </c>
      <c r="B276" s="101" t="s">
        <v>168</v>
      </c>
      <c r="C276" s="101" t="s">
        <v>169</v>
      </c>
      <c r="D276" s="101" t="s">
        <v>170</v>
      </c>
      <c r="E276" s="101" t="s">
        <v>171</v>
      </c>
      <c r="F276" s="101" t="s">
        <v>172</v>
      </c>
      <c r="G276" s="101" t="s">
        <v>173</v>
      </c>
      <c r="H276" s="101" t="s">
        <v>174</v>
      </c>
      <c r="I276" s="101" t="s">
        <v>175</v>
      </c>
      <c r="J276" s="101" t="s">
        <v>176</v>
      </c>
    </row>
    <row r="277" customFormat="false" ht="15" hidden="false" customHeight="false" outlineLevel="0" collapsed="false">
      <c r="A277" s="102" t="s">
        <v>177</v>
      </c>
      <c r="B277" s="103" t="s">
        <v>454</v>
      </c>
      <c r="C277" s="103"/>
      <c r="D277" s="103"/>
      <c r="E277" s="103"/>
      <c r="F277" s="103"/>
      <c r="G277" s="103"/>
      <c r="H277" s="103"/>
      <c r="I277" s="103"/>
      <c r="J277" s="103"/>
    </row>
    <row r="278" customFormat="false" ht="15" hidden="false" customHeight="false" outlineLevel="0" collapsed="false">
      <c r="A278" s="102" t="s">
        <v>186</v>
      </c>
      <c r="B278" s="103"/>
      <c r="C278" s="103" t="s">
        <v>481</v>
      </c>
      <c r="D278" s="103"/>
      <c r="E278" s="103"/>
      <c r="F278" s="103"/>
      <c r="G278" s="103"/>
      <c r="H278" s="103"/>
      <c r="I278" s="103"/>
      <c r="J278" s="103"/>
    </row>
    <row r="279" customFormat="false" ht="15" hidden="false" customHeight="false" outlineLevel="0" collapsed="false">
      <c r="A279" s="102" t="s">
        <v>195</v>
      </c>
      <c r="B279" s="103"/>
      <c r="C279" s="103"/>
      <c r="D279" s="103"/>
      <c r="E279" s="103"/>
      <c r="F279" s="103"/>
      <c r="G279" s="103"/>
      <c r="H279" s="103"/>
      <c r="I279" s="103"/>
      <c r="J279" s="103"/>
    </row>
    <row r="280" customFormat="false" ht="15" hidden="false" customHeight="false" outlineLevel="0" collapsed="false">
      <c r="A280" s="102" t="s">
        <v>205</v>
      </c>
      <c r="B280" s="103"/>
      <c r="C280" s="103"/>
      <c r="D280" s="103"/>
      <c r="E280" s="103"/>
      <c r="F280" s="103"/>
      <c r="G280" s="103"/>
      <c r="H280" s="103"/>
      <c r="I280" s="103"/>
      <c r="J280" s="103"/>
    </row>
    <row r="281" customFormat="false" ht="15" hidden="false" customHeight="false" outlineLevel="0" collapsed="false">
      <c r="A281" s="102" t="s">
        <v>409</v>
      </c>
      <c r="B281" s="103"/>
      <c r="C281" s="103"/>
      <c r="D281" s="103"/>
      <c r="E281" s="103"/>
      <c r="F281" s="103" t="s">
        <v>410</v>
      </c>
      <c r="G281" s="103"/>
      <c r="H281" s="103"/>
      <c r="I281" s="103" t="s">
        <v>482</v>
      </c>
      <c r="J281" s="103"/>
    </row>
    <row r="282" customFormat="false" ht="15" hidden="false" customHeight="false" outlineLevel="0" collapsed="false">
      <c r="A282" s="102" t="s">
        <v>223</v>
      </c>
      <c r="B282" s="103"/>
      <c r="C282" s="103"/>
      <c r="D282" s="103"/>
      <c r="E282" s="103"/>
      <c r="F282" s="103"/>
      <c r="G282" s="103"/>
      <c r="H282" s="103"/>
      <c r="I282" s="103"/>
      <c r="J282" s="103"/>
    </row>
    <row r="283" customFormat="false" ht="15" hidden="false" customHeight="false" outlineLevel="0" collapsed="false">
      <c r="A283" s="102" t="s">
        <v>233</v>
      </c>
      <c r="B283" s="103"/>
      <c r="C283" s="103"/>
      <c r="D283" s="103"/>
      <c r="E283" s="103"/>
      <c r="F283" s="103"/>
      <c r="G283" s="103"/>
      <c r="H283" s="103"/>
      <c r="I283" s="103"/>
      <c r="J283" s="103"/>
    </row>
    <row r="284" customFormat="false" ht="15" hidden="false" customHeight="false" outlineLevel="0" collapsed="false">
      <c r="A284" s="102" t="s">
        <v>243</v>
      </c>
      <c r="B284" s="103"/>
      <c r="C284" s="103"/>
      <c r="D284" s="103"/>
      <c r="E284" s="103"/>
      <c r="F284" s="103" t="s">
        <v>483</v>
      </c>
      <c r="G284" s="103"/>
      <c r="H284" s="103"/>
      <c r="I284" s="103" t="s">
        <v>484</v>
      </c>
      <c r="J284" s="103" t="s">
        <v>485</v>
      </c>
    </row>
    <row r="285" customFormat="false" ht="15" hidden="false" customHeight="false" outlineLevel="0" collapsed="false">
      <c r="A285" s="102" t="s">
        <v>250</v>
      </c>
      <c r="B285" s="103"/>
      <c r="C285" s="103"/>
      <c r="D285" s="103"/>
      <c r="E285" s="103"/>
      <c r="F285" s="103"/>
      <c r="G285" s="103"/>
      <c r="H285" s="103"/>
      <c r="I285" s="103" t="s">
        <v>486</v>
      </c>
      <c r="J285" s="103" t="s">
        <v>487</v>
      </c>
    </row>
    <row r="290" customFormat="false" ht="16.15" hidden="false" customHeight="false" outlineLevel="0" collapsed="false">
      <c r="A290" s="85" t="s">
        <v>488</v>
      </c>
    </row>
    <row r="292" customFormat="false" ht="15" hidden="false" customHeight="false" outlineLevel="0" collapsed="false">
      <c r="A292" s="101" t="s">
        <v>489</v>
      </c>
      <c r="B292" s="101" t="s">
        <v>168</v>
      </c>
      <c r="C292" s="101" t="s">
        <v>169</v>
      </c>
      <c r="D292" s="101" t="s">
        <v>170</v>
      </c>
      <c r="E292" s="101" t="s">
        <v>171</v>
      </c>
      <c r="F292" s="101" t="s">
        <v>172</v>
      </c>
      <c r="G292" s="101" t="s">
        <v>173</v>
      </c>
      <c r="H292" s="101" t="s">
        <v>174</v>
      </c>
      <c r="I292" s="101" t="s">
        <v>175</v>
      </c>
      <c r="J292" s="101" t="s">
        <v>176</v>
      </c>
      <c r="K292" s="101" t="s">
        <v>278</v>
      </c>
    </row>
    <row r="293" customFormat="false" ht="15" hidden="false" customHeight="false" outlineLevel="0" collapsed="false">
      <c r="A293" s="102" t="s">
        <v>177</v>
      </c>
      <c r="B293" s="103" t="n">
        <v>6</v>
      </c>
      <c r="C293" s="103"/>
      <c r="D293" s="103"/>
      <c r="E293" s="103"/>
      <c r="F293" s="103"/>
      <c r="G293" s="103"/>
      <c r="H293" s="103"/>
      <c r="I293" s="103"/>
      <c r="J293" s="103"/>
      <c r="K293" s="104" t="n">
        <v>6</v>
      </c>
    </row>
    <row r="294" customFormat="false" ht="15" hidden="false" customHeight="false" outlineLevel="0" collapsed="false">
      <c r="A294" s="102" t="s">
        <v>186</v>
      </c>
      <c r="B294" s="103"/>
      <c r="C294" s="103" t="n">
        <v>5</v>
      </c>
      <c r="D294" s="103"/>
      <c r="E294" s="103"/>
      <c r="F294" s="103"/>
      <c r="G294" s="103"/>
      <c r="H294" s="103"/>
      <c r="I294" s="103"/>
      <c r="J294" s="103"/>
      <c r="K294" s="104" t="n">
        <v>5</v>
      </c>
    </row>
    <row r="295" customFormat="false" ht="15" hidden="false" customHeight="false" outlineLevel="0" collapsed="false">
      <c r="A295" s="102" t="s">
        <v>195</v>
      </c>
      <c r="B295" s="103"/>
      <c r="C295" s="103"/>
      <c r="D295" s="103"/>
      <c r="E295" s="103"/>
      <c r="F295" s="103"/>
      <c r="G295" s="103"/>
      <c r="H295" s="103"/>
      <c r="I295" s="103"/>
      <c r="J295" s="103"/>
      <c r="K295" s="104" t="n">
        <v>0</v>
      </c>
    </row>
    <row r="296" customFormat="false" ht="15" hidden="false" customHeight="false" outlineLevel="0" collapsed="false">
      <c r="A296" s="102" t="s">
        <v>205</v>
      </c>
      <c r="B296" s="103"/>
      <c r="C296" s="103"/>
      <c r="D296" s="103"/>
      <c r="E296" s="103"/>
      <c r="F296" s="103"/>
      <c r="G296" s="103"/>
      <c r="H296" s="103"/>
      <c r="I296" s="103"/>
      <c r="J296" s="103"/>
      <c r="K296" s="104" t="n">
        <v>0</v>
      </c>
    </row>
    <row r="297" customFormat="false" ht="15" hidden="false" customHeight="false" outlineLevel="0" collapsed="false">
      <c r="A297" s="102" t="s">
        <v>409</v>
      </c>
      <c r="B297" s="103"/>
      <c r="C297" s="103"/>
      <c r="D297" s="103"/>
      <c r="E297" s="103"/>
      <c r="F297" s="103" t="n">
        <v>2</v>
      </c>
      <c r="G297" s="103"/>
      <c r="H297" s="103"/>
      <c r="I297" s="103" t="n">
        <v>2</v>
      </c>
      <c r="J297" s="103"/>
      <c r="K297" s="104" t="n">
        <v>4</v>
      </c>
    </row>
    <row r="298" customFormat="false" ht="15" hidden="false" customHeight="false" outlineLevel="0" collapsed="false">
      <c r="A298" s="102" t="s">
        <v>223</v>
      </c>
      <c r="B298" s="103"/>
      <c r="C298" s="103"/>
      <c r="D298" s="103"/>
      <c r="E298" s="103"/>
      <c r="F298" s="103"/>
      <c r="G298" s="103"/>
      <c r="H298" s="103"/>
      <c r="I298" s="103"/>
      <c r="J298" s="103"/>
      <c r="K298" s="104" t="n">
        <v>0</v>
      </c>
    </row>
    <row r="299" customFormat="false" ht="15" hidden="false" customHeight="false" outlineLevel="0" collapsed="false">
      <c r="A299" s="102" t="s">
        <v>233</v>
      </c>
      <c r="B299" s="103"/>
      <c r="C299" s="103"/>
      <c r="D299" s="103"/>
      <c r="E299" s="103"/>
      <c r="F299" s="103"/>
      <c r="G299" s="103"/>
      <c r="H299" s="103"/>
      <c r="I299" s="103"/>
      <c r="J299" s="103"/>
      <c r="K299" s="104" t="n">
        <v>0</v>
      </c>
    </row>
    <row r="300" customFormat="false" ht="15" hidden="false" customHeight="false" outlineLevel="0" collapsed="false">
      <c r="A300" s="102" t="s">
        <v>243</v>
      </c>
      <c r="B300" s="103"/>
      <c r="C300" s="103"/>
      <c r="D300" s="103"/>
      <c r="E300" s="103"/>
      <c r="F300" s="103" t="n">
        <v>2</v>
      </c>
      <c r="G300" s="103"/>
      <c r="H300" s="103"/>
      <c r="I300" s="103" t="n">
        <v>2</v>
      </c>
      <c r="J300" s="103" t="n">
        <v>1</v>
      </c>
      <c r="K300" s="104" t="n">
        <v>5</v>
      </c>
    </row>
    <row r="301" customFormat="false" ht="15" hidden="false" customHeight="false" outlineLevel="0" collapsed="false">
      <c r="A301" s="102" t="s">
        <v>250</v>
      </c>
      <c r="B301" s="103"/>
      <c r="C301" s="103"/>
      <c r="D301" s="103"/>
      <c r="E301" s="103"/>
      <c r="F301" s="103"/>
      <c r="G301" s="103"/>
      <c r="H301" s="103"/>
      <c r="I301" s="103" t="n">
        <v>1</v>
      </c>
      <c r="J301" s="103" t="n">
        <v>4</v>
      </c>
      <c r="K301" s="104" t="n">
        <v>5</v>
      </c>
    </row>
    <row r="302" customFormat="false" ht="15" hidden="false" customHeight="false" outlineLevel="0" collapsed="false">
      <c r="A302" s="102" t="s">
        <v>278</v>
      </c>
      <c r="B302" s="104" t="n">
        <v>6</v>
      </c>
      <c r="C302" s="104" t="n">
        <v>5</v>
      </c>
      <c r="D302" s="104" t="n">
        <v>0</v>
      </c>
      <c r="E302" s="104" t="n">
        <v>0</v>
      </c>
      <c r="F302" s="104" t="n">
        <v>4</v>
      </c>
      <c r="G302" s="104" t="n">
        <v>0</v>
      </c>
      <c r="H302" s="104" t="n">
        <v>0</v>
      </c>
      <c r="I302" s="104" t="n">
        <v>5</v>
      </c>
      <c r="J302" s="104" t="n">
        <v>5</v>
      </c>
      <c r="K302" s="104" t="n">
        <v>25</v>
      </c>
    </row>
    <row r="305" customFormat="false" ht="15" hidden="false" customHeight="false" outlineLevel="0" collapsed="false">
      <c r="A305" s="96" t="s">
        <v>490</v>
      </c>
    </row>
    <row r="306" customFormat="false" ht="15" hidden="false" customHeight="false" outlineLevel="0" collapsed="false">
      <c r="A306" s="101" t="s">
        <v>491</v>
      </c>
      <c r="B306" s="101" t="s">
        <v>112</v>
      </c>
      <c r="C306" s="101" t="s">
        <v>115</v>
      </c>
      <c r="D306" s="101" t="s">
        <v>119</v>
      </c>
      <c r="E306" s="101" t="s">
        <v>278</v>
      </c>
      <c r="H306" s="105" t="s">
        <v>33</v>
      </c>
      <c r="I306" s="106" t="s">
        <v>112</v>
      </c>
      <c r="J306" s="105" t="s">
        <v>96</v>
      </c>
      <c r="K306" s="106" t="s">
        <v>115</v>
      </c>
      <c r="L306" s="105" t="s">
        <v>34</v>
      </c>
      <c r="M306" s="107" t="s">
        <v>119</v>
      </c>
    </row>
    <row r="307" customFormat="false" ht="15" hidden="false" customHeight="false" outlineLevel="0" collapsed="false">
      <c r="A307" s="102" t="s">
        <v>33</v>
      </c>
      <c r="B307" s="103" t="n">
        <v>11</v>
      </c>
      <c r="C307" s="103"/>
      <c r="D307" s="103"/>
      <c r="E307" s="104" t="n">
        <v>11</v>
      </c>
      <c r="G307" s="0" t="s">
        <v>271</v>
      </c>
      <c r="H307" s="0" t="n">
        <v>11</v>
      </c>
      <c r="I307" s="0" t="n">
        <v>11</v>
      </c>
      <c r="J307" s="0" t="n">
        <v>4</v>
      </c>
      <c r="K307" s="0" t="n">
        <v>4</v>
      </c>
      <c r="L307" s="0" t="n">
        <v>10</v>
      </c>
      <c r="M307" s="0" t="n">
        <v>10</v>
      </c>
    </row>
    <row r="308" customFormat="false" ht="15" hidden="false" customHeight="false" outlineLevel="0" collapsed="false">
      <c r="A308" s="102" t="s">
        <v>96</v>
      </c>
      <c r="B308" s="103"/>
      <c r="C308" s="103" t="n">
        <v>2</v>
      </c>
      <c r="D308" s="103" t="n">
        <v>2</v>
      </c>
      <c r="E308" s="104" t="n">
        <v>4</v>
      </c>
    </row>
    <row r="309" customFormat="false" ht="15" hidden="false" customHeight="false" outlineLevel="0" collapsed="false">
      <c r="A309" s="102" t="s">
        <v>34</v>
      </c>
      <c r="B309" s="103"/>
      <c r="C309" s="103" t="n">
        <v>2</v>
      </c>
      <c r="D309" s="103" t="n">
        <v>8</v>
      </c>
      <c r="E309" s="104" t="n">
        <v>10</v>
      </c>
    </row>
    <row r="310" customFormat="false" ht="15" hidden="false" customHeight="false" outlineLevel="0" collapsed="false">
      <c r="A310" s="102" t="s">
        <v>278</v>
      </c>
      <c r="B310" s="104" t="n">
        <v>11</v>
      </c>
      <c r="C310" s="104" t="n">
        <v>4</v>
      </c>
      <c r="D310" s="104" t="n">
        <v>10</v>
      </c>
      <c r="E310" s="104" t="n">
        <v>25</v>
      </c>
    </row>
    <row r="315" customFormat="false" ht="16.15" hidden="false" customHeight="false" outlineLevel="0" collapsed="false">
      <c r="A315" s="85" t="s">
        <v>492</v>
      </c>
    </row>
    <row r="317" customFormat="false" ht="15" hidden="false" customHeight="false" outlineLevel="0" collapsed="false">
      <c r="A317" s="96" t="s">
        <v>493</v>
      </c>
    </row>
    <row r="318" customFormat="false" ht="15" hidden="false" customHeight="false" outlineLevel="0" collapsed="false">
      <c r="A318" s="101" t="s">
        <v>406</v>
      </c>
      <c r="B318" s="101" t="s">
        <v>112</v>
      </c>
      <c r="C318" s="101" t="s">
        <v>115</v>
      </c>
      <c r="D318" s="101" t="s">
        <v>119</v>
      </c>
      <c r="E318" s="101" t="s">
        <v>260</v>
      </c>
      <c r="F318" s="101" t="s">
        <v>494</v>
      </c>
      <c r="H318" s="105" t="s">
        <v>33</v>
      </c>
      <c r="I318" s="106" t="s">
        <v>112</v>
      </c>
      <c r="J318" s="105" t="s">
        <v>96</v>
      </c>
      <c r="K318" s="106" t="s">
        <v>115</v>
      </c>
      <c r="L318" s="105" t="s">
        <v>34</v>
      </c>
      <c r="M318" s="107" t="s">
        <v>119</v>
      </c>
    </row>
    <row r="319" customFormat="false" ht="15" hidden="false" customHeight="false" outlineLevel="0" collapsed="false">
      <c r="A319" s="102" t="s">
        <v>33</v>
      </c>
      <c r="B319" s="108" t="n">
        <v>2.59090909090909</v>
      </c>
      <c r="C319" s="108"/>
      <c r="D319" s="108"/>
      <c r="E319" s="109" t="n">
        <v>2.59090909090909</v>
      </c>
      <c r="F319" s="109" t="n">
        <v>0</v>
      </c>
      <c r="G319" s="110" t="s">
        <v>360</v>
      </c>
      <c r="H319" s="111" t="n">
        <f aca="false">E319</f>
        <v>2.59090909090909</v>
      </c>
      <c r="I319" s="111" t="n">
        <f aca="false">B322</f>
        <v>2.59090909090909</v>
      </c>
      <c r="J319" s="111" t="n">
        <f aca="false">E320</f>
        <v>-0.315</v>
      </c>
      <c r="K319" s="111" t="n">
        <f aca="false">C322</f>
        <v>-0.355</v>
      </c>
      <c r="L319" s="111" t="n">
        <f aca="false">E321</f>
        <v>-1.65125</v>
      </c>
      <c r="M319" s="111" t="n">
        <f aca="false">D322</f>
        <v>-1.61125</v>
      </c>
    </row>
    <row r="320" customFormat="false" ht="15" hidden="false" customHeight="false" outlineLevel="0" collapsed="false">
      <c r="A320" s="102" t="s">
        <v>96</v>
      </c>
      <c r="B320" s="108"/>
      <c r="C320" s="108" t="n">
        <v>0</v>
      </c>
      <c r="D320" s="108" t="n">
        <v>-0.63</v>
      </c>
      <c r="E320" s="109" t="n">
        <v>-0.315</v>
      </c>
      <c r="F320" s="109" t="n">
        <v>0.315</v>
      </c>
    </row>
    <row r="321" customFormat="false" ht="15" hidden="false" customHeight="false" outlineLevel="0" collapsed="false">
      <c r="A321" s="102" t="s">
        <v>34</v>
      </c>
      <c r="B321" s="108"/>
      <c r="C321" s="108" t="n">
        <v>-0.71</v>
      </c>
      <c r="D321" s="108" t="n">
        <v>-2.5925</v>
      </c>
      <c r="E321" s="109" t="n">
        <v>-1.65125</v>
      </c>
      <c r="F321" s="109" t="n">
        <v>0.94125</v>
      </c>
    </row>
    <row r="322" customFormat="false" ht="15" hidden="false" customHeight="false" outlineLevel="0" collapsed="false">
      <c r="A322" s="102" t="s">
        <v>260</v>
      </c>
      <c r="B322" s="109" t="n">
        <v>2.59090909090909</v>
      </c>
      <c r="C322" s="109" t="n">
        <v>-0.355</v>
      </c>
      <c r="D322" s="109" t="n">
        <v>-1.61125</v>
      </c>
      <c r="E322" s="109" t="n">
        <v>-0.268318181818182</v>
      </c>
      <c r="F322" s="109" t="n">
        <v>1.67181894557301</v>
      </c>
    </row>
    <row r="323" customFormat="false" ht="15" hidden="false" customHeight="false" outlineLevel="0" collapsed="false">
      <c r="A323" s="102" t="s">
        <v>494</v>
      </c>
      <c r="B323" s="109" t="n">
        <v>0</v>
      </c>
      <c r="C323" s="109" t="n">
        <v>0.355</v>
      </c>
      <c r="D323" s="109" t="n">
        <v>0.98125</v>
      </c>
      <c r="E323" s="109" t="n">
        <v>1.67181894557301</v>
      </c>
      <c r="F323" s="109" t="n">
        <v>1.67181894557301</v>
      </c>
    </row>
    <row r="325" customFormat="false" ht="15" hidden="false" customHeight="false" outlineLevel="0" collapsed="false">
      <c r="A325" s="96" t="s">
        <v>495</v>
      </c>
    </row>
    <row r="326" customFormat="false" ht="15" hidden="false" customHeight="false" outlineLevel="0" collapsed="false">
      <c r="A326" s="101" t="s">
        <v>418</v>
      </c>
      <c r="B326" s="101" t="s">
        <v>112</v>
      </c>
      <c r="C326" s="101" t="s">
        <v>115</v>
      </c>
      <c r="D326" s="101" t="s">
        <v>119</v>
      </c>
      <c r="E326" s="101" t="s">
        <v>260</v>
      </c>
      <c r="F326" s="101" t="s">
        <v>494</v>
      </c>
      <c r="H326" s="105" t="s">
        <v>33</v>
      </c>
      <c r="I326" s="106" t="s">
        <v>112</v>
      </c>
      <c r="J326" s="105" t="s">
        <v>96</v>
      </c>
      <c r="K326" s="106" t="s">
        <v>115</v>
      </c>
      <c r="L326" s="105" t="s">
        <v>34</v>
      </c>
      <c r="M326" s="107" t="s">
        <v>119</v>
      </c>
    </row>
    <row r="327" customFormat="false" ht="15" hidden="false" customHeight="false" outlineLevel="0" collapsed="false">
      <c r="A327" s="102" t="s">
        <v>33</v>
      </c>
      <c r="B327" s="108" t="n">
        <v>1.31363636363636</v>
      </c>
      <c r="C327" s="108"/>
      <c r="D327" s="108"/>
      <c r="E327" s="109" t="n">
        <v>1.31363636363636</v>
      </c>
      <c r="F327" s="109" t="n">
        <v>0</v>
      </c>
      <c r="G327" s="110" t="s">
        <v>361</v>
      </c>
      <c r="H327" s="111" t="n">
        <f aca="false">E327</f>
        <v>1.31363636363636</v>
      </c>
      <c r="I327" s="111" t="n">
        <f aca="false">B330</f>
        <v>1.31363636363636</v>
      </c>
      <c r="J327" s="111" t="n">
        <f aca="false">E328</f>
        <v>-0.315</v>
      </c>
      <c r="K327" s="111" t="n">
        <f aca="false">C330</f>
        <v>-1.285</v>
      </c>
      <c r="L327" s="111" t="n">
        <f aca="false">E329</f>
        <v>-2.805625</v>
      </c>
      <c r="M327" s="111" t="n">
        <f aca="false">D330</f>
        <v>-1.835625</v>
      </c>
    </row>
    <row r="328" customFormat="false" ht="15" hidden="false" customHeight="false" outlineLevel="0" collapsed="false">
      <c r="A328" s="102" t="s">
        <v>96</v>
      </c>
      <c r="B328" s="108"/>
      <c r="C328" s="108" t="n">
        <v>0</v>
      </c>
      <c r="D328" s="108" t="n">
        <v>-0.63</v>
      </c>
      <c r="E328" s="109" t="n">
        <v>-0.315</v>
      </c>
      <c r="F328" s="109" t="n">
        <v>0.315</v>
      </c>
    </row>
    <row r="329" customFormat="false" ht="15" hidden="false" customHeight="false" outlineLevel="0" collapsed="false">
      <c r="A329" s="102" t="s">
        <v>34</v>
      </c>
      <c r="B329" s="108"/>
      <c r="C329" s="108" t="n">
        <v>-2.57</v>
      </c>
      <c r="D329" s="108" t="n">
        <v>-3.04125</v>
      </c>
      <c r="E329" s="109" t="n">
        <v>-2.805625</v>
      </c>
      <c r="F329" s="109" t="n">
        <v>0.235625</v>
      </c>
    </row>
    <row r="330" customFormat="false" ht="15" hidden="false" customHeight="false" outlineLevel="0" collapsed="false">
      <c r="A330" s="102" t="s">
        <v>260</v>
      </c>
      <c r="B330" s="109" t="n">
        <v>1.31363636363636</v>
      </c>
      <c r="C330" s="109" t="n">
        <v>-1.285</v>
      </c>
      <c r="D330" s="109" t="n">
        <v>-1.835625</v>
      </c>
      <c r="E330" s="109" t="n">
        <v>-0.985522727272727</v>
      </c>
      <c r="F330" s="109" t="n">
        <v>1.6198991838082</v>
      </c>
    </row>
    <row r="331" customFormat="false" ht="15" hidden="false" customHeight="false" outlineLevel="0" collapsed="false">
      <c r="A331" s="102" t="s">
        <v>494</v>
      </c>
      <c r="B331" s="109" t="n">
        <v>0</v>
      </c>
      <c r="C331" s="109" t="n">
        <v>1.285</v>
      </c>
      <c r="D331" s="109" t="n">
        <v>1.205625</v>
      </c>
      <c r="E331" s="109" t="n">
        <v>1.6198991838082</v>
      </c>
      <c r="F331" s="109" t="n">
        <v>1.6198991838082</v>
      </c>
    </row>
    <row r="333" customFormat="false" ht="15" hidden="false" customHeight="false" outlineLevel="0" collapsed="false">
      <c r="A333" s="96" t="s">
        <v>496</v>
      </c>
    </row>
    <row r="334" customFormat="false" ht="15" hidden="false" customHeight="false" outlineLevel="0" collapsed="false">
      <c r="A334" s="101" t="s">
        <v>427</v>
      </c>
      <c r="B334" s="101" t="s">
        <v>112</v>
      </c>
      <c r="C334" s="101" t="s">
        <v>115</v>
      </c>
      <c r="D334" s="101" t="s">
        <v>119</v>
      </c>
      <c r="E334" s="101" t="s">
        <v>260</v>
      </c>
      <c r="F334" s="101" t="s">
        <v>494</v>
      </c>
      <c r="H334" s="105" t="s">
        <v>33</v>
      </c>
      <c r="I334" s="106" t="s">
        <v>112</v>
      </c>
      <c r="J334" s="105" t="s">
        <v>96</v>
      </c>
      <c r="K334" s="106" t="s">
        <v>115</v>
      </c>
      <c r="L334" s="105" t="s">
        <v>34</v>
      </c>
      <c r="M334" s="107" t="s">
        <v>119</v>
      </c>
    </row>
    <row r="335" customFormat="false" ht="15" hidden="false" customHeight="false" outlineLevel="0" collapsed="false">
      <c r="A335" s="102" t="s">
        <v>33</v>
      </c>
      <c r="B335" s="108" t="n">
        <v>1.31363636363636</v>
      </c>
      <c r="C335" s="108"/>
      <c r="D335" s="108"/>
      <c r="E335" s="109" t="n">
        <v>1.31363636363636</v>
      </c>
      <c r="F335" s="109" t="n">
        <v>0</v>
      </c>
      <c r="G335" s="110" t="s">
        <v>362</v>
      </c>
      <c r="H335" s="111" t="n">
        <f aca="false">E335</f>
        <v>1.31363636363636</v>
      </c>
      <c r="I335" s="111" t="n">
        <f aca="false">B338</f>
        <v>1.31363636363636</v>
      </c>
      <c r="J335" s="111" t="n">
        <f aca="false">E336</f>
        <v>-1.3125</v>
      </c>
      <c r="K335" s="111" t="n">
        <f aca="false">C338</f>
        <v>-0.355</v>
      </c>
      <c r="L335" s="111" t="n">
        <f aca="false">E337</f>
        <v>-1.87625</v>
      </c>
      <c r="M335" s="111" t="n">
        <f aca="false">D338</f>
        <v>-2.83375</v>
      </c>
    </row>
    <row r="336" customFormat="false" ht="15" hidden="false" customHeight="false" outlineLevel="0" collapsed="false">
      <c r="A336" s="102" t="s">
        <v>96</v>
      </c>
      <c r="B336" s="108"/>
      <c r="C336" s="108" t="n">
        <v>0</v>
      </c>
      <c r="D336" s="108" t="n">
        <v>-2.625</v>
      </c>
      <c r="E336" s="109" t="n">
        <v>-1.3125</v>
      </c>
      <c r="F336" s="109" t="n">
        <v>1.3125</v>
      </c>
    </row>
    <row r="337" customFormat="false" ht="15" hidden="false" customHeight="false" outlineLevel="0" collapsed="false">
      <c r="A337" s="102" t="s">
        <v>34</v>
      </c>
      <c r="B337" s="108"/>
      <c r="C337" s="108" t="n">
        <v>-0.71</v>
      </c>
      <c r="D337" s="108" t="n">
        <v>-3.0425</v>
      </c>
      <c r="E337" s="109" t="n">
        <v>-1.87625</v>
      </c>
      <c r="F337" s="109" t="n">
        <v>1.16625</v>
      </c>
    </row>
    <row r="338" customFormat="false" ht="15" hidden="false" customHeight="false" outlineLevel="0" collapsed="false">
      <c r="A338" s="102" t="s">
        <v>260</v>
      </c>
      <c r="B338" s="109" t="n">
        <v>1.31363636363636</v>
      </c>
      <c r="C338" s="109" t="n">
        <v>-0.355</v>
      </c>
      <c r="D338" s="109" t="n">
        <v>-2.83375</v>
      </c>
      <c r="E338" s="109" t="n">
        <v>-1.01277272727273</v>
      </c>
      <c r="F338" s="109" t="n">
        <v>1.62779782284721</v>
      </c>
    </row>
    <row r="339" customFormat="false" ht="15" hidden="false" customHeight="false" outlineLevel="0" collapsed="false">
      <c r="A339" s="102" t="s">
        <v>494</v>
      </c>
      <c r="B339" s="109" t="n">
        <v>0</v>
      </c>
      <c r="C339" s="109" t="n">
        <v>0.355</v>
      </c>
      <c r="D339" s="109" t="n">
        <v>0.20875</v>
      </c>
      <c r="E339" s="109" t="n">
        <v>1.62779782284721</v>
      </c>
      <c r="F339" s="109" t="n">
        <v>1.62779782284721</v>
      </c>
    </row>
    <row r="341" customFormat="false" ht="15" hidden="false" customHeight="false" outlineLevel="0" collapsed="false">
      <c r="A341" s="96" t="s">
        <v>497</v>
      </c>
    </row>
    <row r="342" customFormat="false" ht="15" hidden="false" customHeight="false" outlineLevel="0" collapsed="false">
      <c r="A342" s="101" t="s">
        <v>432</v>
      </c>
      <c r="B342" s="101" t="s">
        <v>112</v>
      </c>
      <c r="C342" s="101" t="s">
        <v>115</v>
      </c>
      <c r="D342" s="101" t="s">
        <v>119</v>
      </c>
      <c r="E342" s="101" t="s">
        <v>260</v>
      </c>
      <c r="F342" s="101" t="s">
        <v>494</v>
      </c>
      <c r="H342" s="105" t="s">
        <v>33</v>
      </c>
      <c r="I342" s="106" t="s">
        <v>112</v>
      </c>
      <c r="J342" s="105" t="s">
        <v>96</v>
      </c>
      <c r="K342" s="106" t="s">
        <v>115</v>
      </c>
      <c r="L342" s="105" t="s">
        <v>34</v>
      </c>
      <c r="M342" s="107" t="s">
        <v>119</v>
      </c>
    </row>
    <row r="343" customFormat="false" ht="15" hidden="false" customHeight="false" outlineLevel="0" collapsed="false">
      <c r="A343" s="102" t="s">
        <v>33</v>
      </c>
      <c r="B343" s="108" t="n">
        <v>2.59090909090909</v>
      </c>
      <c r="C343" s="108"/>
      <c r="D343" s="108"/>
      <c r="E343" s="109" t="n">
        <v>2.59090909090909</v>
      </c>
      <c r="F343" s="109" t="n">
        <v>0</v>
      </c>
      <c r="G343" s="110" t="s">
        <v>363</v>
      </c>
      <c r="H343" s="111" t="n">
        <f aca="false">E343</f>
        <v>2.59090909090909</v>
      </c>
      <c r="I343" s="111" t="n">
        <f aca="false">B346</f>
        <v>2.59090909090909</v>
      </c>
      <c r="J343" s="111" t="n">
        <f aca="false">E344</f>
        <v>-0.315</v>
      </c>
      <c r="K343" s="111" t="n">
        <f aca="false">C346</f>
        <v>-0.355</v>
      </c>
      <c r="L343" s="111" t="n">
        <f aca="false">E345</f>
        <v>-1.66</v>
      </c>
      <c r="M343" s="111" t="n">
        <f aca="false">D346</f>
        <v>-1.62</v>
      </c>
    </row>
    <row r="344" customFormat="false" ht="15" hidden="false" customHeight="false" outlineLevel="0" collapsed="false">
      <c r="A344" s="102" t="s">
        <v>96</v>
      </c>
      <c r="B344" s="108"/>
      <c r="C344" s="108" t="n">
        <v>0</v>
      </c>
      <c r="D344" s="108" t="n">
        <v>-0.63</v>
      </c>
      <c r="E344" s="109" t="n">
        <v>-0.315</v>
      </c>
      <c r="F344" s="109" t="n">
        <v>0.315</v>
      </c>
    </row>
    <row r="345" customFormat="false" ht="15" hidden="false" customHeight="false" outlineLevel="0" collapsed="false">
      <c r="A345" s="102" t="s">
        <v>34</v>
      </c>
      <c r="B345" s="108"/>
      <c r="C345" s="108" t="n">
        <v>-0.71</v>
      </c>
      <c r="D345" s="108" t="n">
        <v>-2.61</v>
      </c>
      <c r="E345" s="109" t="n">
        <v>-1.66</v>
      </c>
      <c r="F345" s="109" t="n">
        <v>0.95</v>
      </c>
    </row>
    <row r="346" customFormat="false" ht="15" hidden="false" customHeight="false" outlineLevel="0" collapsed="false">
      <c r="A346" s="102" t="s">
        <v>260</v>
      </c>
      <c r="B346" s="109" t="n">
        <v>2.59090909090909</v>
      </c>
      <c r="C346" s="109" t="n">
        <v>-0.355</v>
      </c>
      <c r="D346" s="109" t="n">
        <v>-1.62</v>
      </c>
      <c r="E346" s="109" t="n">
        <v>-0.271818181818182</v>
      </c>
      <c r="F346" s="109" t="n">
        <v>1.67669223756303</v>
      </c>
    </row>
    <row r="347" customFormat="false" ht="15" hidden="false" customHeight="false" outlineLevel="0" collapsed="false">
      <c r="A347" s="102" t="s">
        <v>494</v>
      </c>
      <c r="B347" s="109" t="n">
        <v>0</v>
      </c>
      <c r="C347" s="109" t="n">
        <v>0.355</v>
      </c>
      <c r="D347" s="109" t="n">
        <v>0.99</v>
      </c>
      <c r="E347" s="109" t="n">
        <v>1.67669223756303</v>
      </c>
      <c r="F347" s="109" t="n">
        <v>1.67669223756303</v>
      </c>
    </row>
    <row r="349" customFormat="false" ht="15" hidden="false" customHeight="false" outlineLevel="0" collapsed="false">
      <c r="A349" s="96" t="s">
        <v>498</v>
      </c>
    </row>
    <row r="350" customFormat="false" ht="15" hidden="false" customHeight="false" outlineLevel="0" collapsed="false">
      <c r="A350" s="101" t="s">
        <v>436</v>
      </c>
      <c r="B350" s="101" t="s">
        <v>112</v>
      </c>
      <c r="C350" s="101" t="s">
        <v>115</v>
      </c>
      <c r="D350" s="101" t="s">
        <v>119</v>
      </c>
      <c r="E350" s="101" t="s">
        <v>260</v>
      </c>
      <c r="F350" s="101" t="s">
        <v>494</v>
      </c>
      <c r="H350" s="105" t="s">
        <v>33</v>
      </c>
      <c r="I350" s="106" t="s">
        <v>112</v>
      </c>
      <c r="J350" s="105" t="s">
        <v>96</v>
      </c>
      <c r="K350" s="106" t="s">
        <v>115</v>
      </c>
      <c r="L350" s="105" t="s">
        <v>34</v>
      </c>
      <c r="M350" s="107" t="s">
        <v>119</v>
      </c>
    </row>
    <row r="351" customFormat="false" ht="15" hidden="false" customHeight="false" outlineLevel="0" collapsed="false">
      <c r="A351" s="102" t="s">
        <v>33</v>
      </c>
      <c r="B351" s="108" t="n">
        <v>3.90454545454546</v>
      </c>
      <c r="C351" s="108"/>
      <c r="D351" s="108"/>
      <c r="E351" s="109" t="n">
        <v>3.90454545454546</v>
      </c>
      <c r="F351" s="109" t="n">
        <v>0</v>
      </c>
      <c r="G351" s="110" t="s">
        <v>364</v>
      </c>
      <c r="H351" s="111" t="n">
        <f aca="false">E351</f>
        <v>3.90454545454546</v>
      </c>
      <c r="I351" s="111" t="n">
        <f aca="false">B354</f>
        <v>3.90454545454546</v>
      </c>
      <c r="J351" s="111" t="n">
        <f aca="false">E352</f>
        <v>-0.63</v>
      </c>
      <c r="K351" s="111" t="n">
        <f aca="false">C354</f>
        <v>-1.64</v>
      </c>
      <c r="L351" s="111" t="n">
        <f aca="false">E353</f>
        <v>-4.456875</v>
      </c>
      <c r="M351" s="111" t="n">
        <f aca="false">D354</f>
        <v>-3.446875</v>
      </c>
    </row>
    <row r="352" customFormat="false" ht="15" hidden="false" customHeight="false" outlineLevel="0" collapsed="false">
      <c r="A352" s="102" t="s">
        <v>96</v>
      </c>
      <c r="B352" s="108"/>
      <c r="C352" s="108" t="n">
        <v>0</v>
      </c>
      <c r="D352" s="108" t="n">
        <v>-1.26</v>
      </c>
      <c r="E352" s="109" t="n">
        <v>-0.63</v>
      </c>
      <c r="F352" s="109" t="n">
        <v>0.63</v>
      </c>
      <c r="G352" s="110"/>
    </row>
    <row r="353" customFormat="false" ht="15" hidden="false" customHeight="false" outlineLevel="0" collapsed="false">
      <c r="A353" s="102" t="s">
        <v>34</v>
      </c>
      <c r="B353" s="108"/>
      <c r="C353" s="108" t="n">
        <v>-3.28</v>
      </c>
      <c r="D353" s="108" t="n">
        <v>-5.63375</v>
      </c>
      <c r="E353" s="109" t="n">
        <v>-4.456875</v>
      </c>
      <c r="F353" s="109" t="n">
        <v>1.176875</v>
      </c>
      <c r="G353" s="110"/>
    </row>
    <row r="354" customFormat="false" ht="15" hidden="false" customHeight="false" outlineLevel="0" collapsed="false">
      <c r="A354" s="102" t="s">
        <v>260</v>
      </c>
      <c r="B354" s="109" t="n">
        <v>3.90454545454546</v>
      </c>
      <c r="C354" s="109" t="n">
        <v>-1.64</v>
      </c>
      <c r="D354" s="109" t="n">
        <v>-3.446875</v>
      </c>
      <c r="E354" s="109" t="n">
        <v>-1.25384090909091</v>
      </c>
      <c r="F354" s="109" t="n">
        <v>3.20842731388953</v>
      </c>
      <c r="G354" s="110"/>
    </row>
    <row r="355" customFormat="false" ht="15" hidden="false" customHeight="false" outlineLevel="0" collapsed="false">
      <c r="A355" s="102" t="s">
        <v>494</v>
      </c>
      <c r="B355" s="109" t="n">
        <v>0</v>
      </c>
      <c r="C355" s="109" t="n">
        <v>1.64</v>
      </c>
      <c r="D355" s="109" t="n">
        <v>2.186875</v>
      </c>
      <c r="E355" s="109" t="n">
        <v>3.20842731388953</v>
      </c>
      <c r="F355" s="109" t="n">
        <v>3.20842731388953</v>
      </c>
      <c r="G355" s="110"/>
    </row>
    <row r="356" customFormat="false" ht="15" hidden="false" customHeight="false" outlineLevel="0" collapsed="false">
      <c r="G356" s="110"/>
    </row>
    <row r="357" customFormat="false" ht="15" hidden="false" customHeight="false" outlineLevel="0" collapsed="false">
      <c r="A357" s="96" t="s">
        <v>499</v>
      </c>
      <c r="G357" s="110"/>
    </row>
    <row r="358" customFormat="false" ht="15" hidden="false" customHeight="false" outlineLevel="0" collapsed="false">
      <c r="A358" s="101" t="s">
        <v>500</v>
      </c>
      <c r="B358" s="101" t="s">
        <v>112</v>
      </c>
      <c r="C358" s="101" t="s">
        <v>115</v>
      </c>
      <c r="D358" s="101" t="s">
        <v>119</v>
      </c>
      <c r="E358" s="101" t="s">
        <v>260</v>
      </c>
      <c r="F358" s="101" t="s">
        <v>494</v>
      </c>
      <c r="G358" s="110"/>
      <c r="H358" s="105" t="s">
        <v>33</v>
      </c>
      <c r="I358" s="106" t="s">
        <v>112</v>
      </c>
      <c r="J358" s="105" t="s">
        <v>96</v>
      </c>
      <c r="K358" s="106" t="s">
        <v>115</v>
      </c>
      <c r="L358" s="105" t="s">
        <v>34</v>
      </c>
      <c r="M358" s="107" t="s">
        <v>119</v>
      </c>
    </row>
    <row r="359" customFormat="false" ht="15" hidden="false" customHeight="false" outlineLevel="0" collapsed="false">
      <c r="A359" s="102" t="s">
        <v>33</v>
      </c>
      <c r="B359" s="108" t="n">
        <v>3.90454545454546</v>
      </c>
      <c r="C359" s="108"/>
      <c r="D359" s="108"/>
      <c r="E359" s="109" t="n">
        <v>3.90454545454546</v>
      </c>
      <c r="F359" s="109" t="n">
        <v>0</v>
      </c>
      <c r="G359" s="110" t="s">
        <v>365</v>
      </c>
      <c r="H359" s="111" t="n">
        <f aca="false">E359</f>
        <v>3.90454545454546</v>
      </c>
      <c r="I359" s="111" t="n">
        <f aca="false">B362</f>
        <v>3.90454545454546</v>
      </c>
      <c r="J359" s="111" t="n">
        <f aca="false">E360</f>
        <v>-1.6275</v>
      </c>
      <c r="K359" s="111" t="n">
        <f aca="false">C362</f>
        <v>-0.71</v>
      </c>
      <c r="L359" s="111" t="n">
        <f aca="false">E361</f>
        <v>-3.53625</v>
      </c>
      <c r="M359" s="111" t="n">
        <f aca="false">D362</f>
        <v>-4.45375</v>
      </c>
    </row>
    <row r="360" customFormat="false" ht="15" hidden="false" customHeight="false" outlineLevel="0" collapsed="false">
      <c r="A360" s="102" t="s">
        <v>96</v>
      </c>
      <c r="B360" s="108"/>
      <c r="C360" s="108" t="n">
        <v>0</v>
      </c>
      <c r="D360" s="108" t="n">
        <v>-3.255</v>
      </c>
      <c r="E360" s="109" t="n">
        <v>-1.6275</v>
      </c>
      <c r="F360" s="109" t="n">
        <v>1.6275</v>
      </c>
      <c r="G360" s="110"/>
    </row>
    <row r="361" customFormat="false" ht="15" hidden="false" customHeight="false" outlineLevel="0" collapsed="false">
      <c r="A361" s="102" t="s">
        <v>34</v>
      </c>
      <c r="B361" s="108"/>
      <c r="C361" s="108" t="n">
        <v>-1.42</v>
      </c>
      <c r="D361" s="108" t="n">
        <v>-5.6525</v>
      </c>
      <c r="E361" s="109" t="n">
        <v>-3.53625</v>
      </c>
      <c r="F361" s="109" t="n">
        <v>2.11625</v>
      </c>
      <c r="G361" s="110"/>
    </row>
    <row r="362" customFormat="false" ht="15" hidden="false" customHeight="false" outlineLevel="0" collapsed="false">
      <c r="A362" s="102" t="s">
        <v>260</v>
      </c>
      <c r="B362" s="109" t="n">
        <v>3.90454545454546</v>
      </c>
      <c r="C362" s="109" t="n">
        <v>-0.71</v>
      </c>
      <c r="D362" s="109" t="n">
        <v>-4.45375</v>
      </c>
      <c r="E362" s="109" t="n">
        <v>-1.28459090909091</v>
      </c>
      <c r="F362" s="109" t="n">
        <v>3.21113025080007</v>
      </c>
      <c r="G362" s="110"/>
    </row>
    <row r="363" customFormat="false" ht="15" hidden="false" customHeight="false" outlineLevel="0" collapsed="false">
      <c r="A363" s="102" t="s">
        <v>494</v>
      </c>
      <c r="B363" s="109" t="n">
        <v>0</v>
      </c>
      <c r="C363" s="109" t="n">
        <v>0.71</v>
      </c>
      <c r="D363" s="109" t="n">
        <v>1.19875</v>
      </c>
      <c r="E363" s="109" t="n">
        <v>3.21113025080007</v>
      </c>
      <c r="F363" s="109" t="n">
        <v>3.21113025080007</v>
      </c>
      <c r="G363" s="110"/>
    </row>
    <row r="364" customFormat="false" ht="15" hidden="false" customHeight="false" outlineLevel="0" collapsed="false">
      <c r="G364" s="110"/>
    </row>
    <row r="365" customFormat="false" ht="15" hidden="false" customHeight="false" outlineLevel="0" collapsed="false">
      <c r="A365" s="96" t="s">
        <v>501</v>
      </c>
      <c r="G365" s="110"/>
    </row>
    <row r="366" customFormat="false" ht="15" hidden="false" customHeight="false" outlineLevel="0" collapsed="false">
      <c r="A366" s="101" t="s">
        <v>502</v>
      </c>
      <c r="B366" s="101" t="s">
        <v>112</v>
      </c>
      <c r="C366" s="101" t="s">
        <v>115</v>
      </c>
      <c r="D366" s="101" t="s">
        <v>119</v>
      </c>
      <c r="E366" s="101" t="s">
        <v>260</v>
      </c>
      <c r="F366" s="101" t="s">
        <v>494</v>
      </c>
      <c r="G366" s="110"/>
      <c r="H366" s="105" t="s">
        <v>33</v>
      </c>
      <c r="I366" s="106" t="s">
        <v>112</v>
      </c>
      <c r="J366" s="105" t="s">
        <v>96</v>
      </c>
      <c r="K366" s="106" t="s">
        <v>115</v>
      </c>
      <c r="L366" s="105" t="s">
        <v>34</v>
      </c>
      <c r="M366" s="107" t="s">
        <v>119</v>
      </c>
    </row>
    <row r="367" customFormat="false" ht="15" hidden="false" customHeight="false" outlineLevel="0" collapsed="false">
      <c r="A367" s="102" t="s">
        <v>33</v>
      </c>
      <c r="B367" s="108" t="n">
        <v>7.80909090909091</v>
      </c>
      <c r="C367" s="108"/>
      <c r="D367" s="108"/>
      <c r="E367" s="109" t="n">
        <v>7.80909090909091</v>
      </c>
      <c r="F367" s="109" t="n">
        <v>0</v>
      </c>
      <c r="G367" s="110" t="s">
        <v>366</v>
      </c>
      <c r="H367" s="111" t="n">
        <f aca="false">E367</f>
        <v>7.80909090909091</v>
      </c>
      <c r="I367" s="111" t="n">
        <f aca="false">B370</f>
        <v>7.80909090909091</v>
      </c>
      <c r="J367" s="111" t="n">
        <f aca="false">E368</f>
        <v>-2.2575</v>
      </c>
      <c r="K367" s="111" t="n">
        <f aca="false">C370</f>
        <v>-2.35</v>
      </c>
      <c r="L367" s="111" t="n">
        <f aca="false">E369</f>
        <v>-7.993125</v>
      </c>
      <c r="M367" s="111" t="n">
        <f aca="false">D370</f>
        <v>-7.900625</v>
      </c>
    </row>
    <row r="368" customFormat="false" ht="15" hidden="false" customHeight="false" outlineLevel="0" collapsed="false">
      <c r="A368" s="102" t="s">
        <v>96</v>
      </c>
      <c r="B368" s="108"/>
      <c r="C368" s="108" t="n">
        <v>0</v>
      </c>
      <c r="D368" s="108" t="n">
        <v>-4.515</v>
      </c>
      <c r="E368" s="109" t="n">
        <v>-2.2575</v>
      </c>
      <c r="F368" s="109" t="n">
        <v>2.2575</v>
      </c>
      <c r="G368" s="110"/>
    </row>
    <row r="369" customFormat="false" ht="15" hidden="false" customHeight="false" outlineLevel="0" collapsed="false">
      <c r="A369" s="102" t="s">
        <v>34</v>
      </c>
      <c r="B369" s="108"/>
      <c r="C369" s="108" t="n">
        <v>-4.7</v>
      </c>
      <c r="D369" s="108" t="n">
        <v>-11.28625</v>
      </c>
      <c r="E369" s="109" t="n">
        <v>-7.993125</v>
      </c>
      <c r="F369" s="109" t="n">
        <v>3.293125</v>
      </c>
      <c r="G369" s="110"/>
      <c r="O369" s="0" t="n">
        <v>-2.53843181818182</v>
      </c>
    </row>
    <row r="370" customFormat="false" ht="15" hidden="false" customHeight="false" outlineLevel="0" collapsed="false">
      <c r="A370" s="102" t="s">
        <v>260</v>
      </c>
      <c r="B370" s="109" t="n">
        <v>7.80909090909091</v>
      </c>
      <c r="C370" s="109" t="n">
        <v>-2.35</v>
      </c>
      <c r="D370" s="109" t="n">
        <v>-7.900625</v>
      </c>
      <c r="E370" s="109" t="n">
        <v>-2.53843181818182</v>
      </c>
      <c r="F370" s="109" t="n">
        <v>6.30267220171186</v>
      </c>
      <c r="G370" s="110"/>
      <c r="O370" s="0" t="n">
        <v>5.76025</v>
      </c>
    </row>
    <row r="371" customFormat="false" ht="15" hidden="false" customHeight="false" outlineLevel="0" collapsed="false">
      <c r="A371" s="102" t="s">
        <v>494</v>
      </c>
      <c r="B371" s="109" t="n">
        <v>0</v>
      </c>
      <c r="C371" s="109" t="n">
        <v>2.35</v>
      </c>
      <c r="D371" s="109" t="n">
        <v>3.385625</v>
      </c>
      <c r="E371" s="109" t="n">
        <v>6.30267220171186</v>
      </c>
      <c r="F371" s="109" t="n">
        <v>6.30267220171186</v>
      </c>
      <c r="G371" s="110"/>
    </row>
    <row r="372" customFormat="false" ht="15" hidden="false" customHeight="false" outlineLevel="0" collapsed="false">
      <c r="G372" s="110"/>
    </row>
    <row r="373" customFormat="false" ht="15" hidden="false" customHeight="false" outlineLevel="0" collapsed="false">
      <c r="A373" s="96" t="s">
        <v>503</v>
      </c>
      <c r="G373" s="110"/>
    </row>
    <row r="374" customFormat="false" ht="15" hidden="false" customHeight="false" outlineLevel="0" collapsed="false">
      <c r="A374" s="101" t="s">
        <v>463</v>
      </c>
      <c r="B374" s="101" t="s">
        <v>112</v>
      </c>
      <c r="C374" s="101" t="s">
        <v>115</v>
      </c>
      <c r="D374" s="101" t="s">
        <v>119</v>
      </c>
      <c r="E374" s="101" t="s">
        <v>260</v>
      </c>
      <c r="F374" s="101" t="s">
        <v>494</v>
      </c>
      <c r="G374" s="110"/>
      <c r="H374" s="105" t="s">
        <v>33</v>
      </c>
      <c r="I374" s="106" t="s">
        <v>112</v>
      </c>
      <c r="J374" s="105" t="s">
        <v>96</v>
      </c>
      <c r="K374" s="106" t="s">
        <v>115</v>
      </c>
      <c r="L374" s="105" t="s">
        <v>34</v>
      </c>
      <c r="M374" s="107" t="s">
        <v>119</v>
      </c>
    </row>
    <row r="375" customFormat="false" ht="15" hidden="false" customHeight="false" outlineLevel="0" collapsed="false">
      <c r="A375" s="102" t="s">
        <v>33</v>
      </c>
      <c r="B375" s="108" t="n">
        <v>4.15</v>
      </c>
      <c r="C375" s="108"/>
      <c r="D375" s="108"/>
      <c r="E375" s="109" t="n">
        <v>4.15</v>
      </c>
      <c r="F375" s="109" t="n">
        <v>0</v>
      </c>
      <c r="G375" s="110" t="s">
        <v>367</v>
      </c>
      <c r="H375" s="111" t="n">
        <f aca="false">E375</f>
        <v>4.15</v>
      </c>
      <c r="I375" s="111" t="n">
        <f aca="false">B378</f>
        <v>4.15</v>
      </c>
      <c r="J375" s="111" t="n">
        <f aca="false">E376</f>
        <v>0.63</v>
      </c>
      <c r="K375" s="111" t="n">
        <f aca="false">C378</f>
        <v>1.64</v>
      </c>
      <c r="L375" s="111" t="n">
        <f aca="false">E377</f>
        <v>4.456875</v>
      </c>
      <c r="M375" s="111" t="n">
        <f aca="false">D378</f>
        <v>3.446875</v>
      </c>
    </row>
    <row r="376" customFormat="false" ht="15" hidden="false" customHeight="false" outlineLevel="0" collapsed="false">
      <c r="A376" s="102" t="s">
        <v>96</v>
      </c>
      <c r="B376" s="108"/>
      <c r="C376" s="108" t="n">
        <v>0</v>
      </c>
      <c r="D376" s="108" t="n">
        <v>1.26</v>
      </c>
      <c r="E376" s="109" t="n">
        <v>0.63</v>
      </c>
      <c r="F376" s="109" t="n">
        <v>0.63</v>
      </c>
      <c r="G376" s="110"/>
    </row>
    <row r="377" customFormat="false" ht="15" hidden="false" customHeight="false" outlineLevel="0" collapsed="false">
      <c r="A377" s="102" t="s">
        <v>34</v>
      </c>
      <c r="B377" s="108"/>
      <c r="C377" s="108" t="n">
        <v>3.28</v>
      </c>
      <c r="D377" s="108" t="n">
        <v>5.63375</v>
      </c>
      <c r="E377" s="109" t="n">
        <v>4.456875</v>
      </c>
      <c r="F377" s="109" t="n">
        <v>1.176875</v>
      </c>
      <c r="G377" s="110"/>
    </row>
    <row r="378" customFormat="false" ht="15" hidden="false" customHeight="false" outlineLevel="0" collapsed="false">
      <c r="A378" s="102" t="s">
        <v>260</v>
      </c>
      <c r="B378" s="109" t="n">
        <v>4.15</v>
      </c>
      <c r="C378" s="109" t="n">
        <v>1.64</v>
      </c>
      <c r="D378" s="109" t="n">
        <v>3.446875</v>
      </c>
      <c r="E378" s="109" t="n">
        <v>2.86475</v>
      </c>
      <c r="F378" s="109" t="n">
        <v>2.0136373183868</v>
      </c>
      <c r="G378" s="110"/>
    </row>
    <row r="379" customFormat="false" ht="15" hidden="false" customHeight="false" outlineLevel="0" collapsed="false">
      <c r="A379" s="102" t="s">
        <v>494</v>
      </c>
      <c r="B379" s="109" t="n">
        <v>0</v>
      </c>
      <c r="C379" s="109" t="n">
        <v>1.64</v>
      </c>
      <c r="D379" s="109" t="n">
        <v>2.186875</v>
      </c>
      <c r="E379" s="109" t="n">
        <v>2.0136373183868</v>
      </c>
      <c r="F379" s="109" t="n">
        <v>2.0136373183868</v>
      </c>
      <c r="G379" s="110"/>
    </row>
    <row r="380" customFormat="false" ht="15" hidden="false" customHeight="false" outlineLevel="0" collapsed="false">
      <c r="G380" s="110"/>
    </row>
    <row r="381" customFormat="false" ht="15" hidden="false" customHeight="false" outlineLevel="0" collapsed="false">
      <c r="A381" s="96" t="s">
        <v>504</v>
      </c>
      <c r="G381" s="110"/>
    </row>
    <row r="382" customFormat="false" ht="15" hidden="false" customHeight="false" outlineLevel="0" collapsed="false">
      <c r="A382" s="101" t="s">
        <v>472</v>
      </c>
      <c r="B382" s="101" t="s">
        <v>112</v>
      </c>
      <c r="C382" s="101" t="s">
        <v>115</v>
      </c>
      <c r="D382" s="101" t="s">
        <v>119</v>
      </c>
      <c r="E382" s="101" t="s">
        <v>260</v>
      </c>
      <c r="F382" s="101" t="s">
        <v>494</v>
      </c>
      <c r="G382" s="110"/>
      <c r="H382" s="105" t="s">
        <v>33</v>
      </c>
      <c r="I382" s="106" t="s">
        <v>112</v>
      </c>
      <c r="J382" s="105" t="s">
        <v>96</v>
      </c>
      <c r="K382" s="106" t="s">
        <v>115</v>
      </c>
      <c r="L382" s="105" t="s">
        <v>34</v>
      </c>
      <c r="M382" s="107" t="s">
        <v>119</v>
      </c>
    </row>
    <row r="383" customFormat="false" ht="15" hidden="false" customHeight="false" outlineLevel="0" collapsed="false">
      <c r="A383" s="102" t="s">
        <v>33</v>
      </c>
      <c r="B383" s="108" t="n">
        <v>4.15</v>
      </c>
      <c r="C383" s="108"/>
      <c r="D383" s="108"/>
      <c r="E383" s="109" t="n">
        <v>4.15</v>
      </c>
      <c r="F383" s="109" t="n">
        <v>0</v>
      </c>
      <c r="G383" s="110" t="s">
        <v>368</v>
      </c>
      <c r="H383" s="111" t="n">
        <f aca="false">E383</f>
        <v>4.15</v>
      </c>
      <c r="I383" s="111" t="n">
        <f aca="false">B386</f>
        <v>4.15</v>
      </c>
      <c r="J383" s="111" t="n">
        <f aca="false">E384</f>
        <v>1.6275</v>
      </c>
      <c r="K383" s="111" t="n">
        <f aca="false">C386</f>
        <v>0.71</v>
      </c>
      <c r="L383" s="111" t="n">
        <f aca="false">E385</f>
        <v>3.53625</v>
      </c>
      <c r="M383" s="111" t="n">
        <f aca="false">D386</f>
        <v>4.45375</v>
      </c>
    </row>
    <row r="384" customFormat="false" ht="15" hidden="false" customHeight="false" outlineLevel="0" collapsed="false">
      <c r="A384" s="102" t="s">
        <v>96</v>
      </c>
      <c r="B384" s="108"/>
      <c r="C384" s="108" t="n">
        <v>0</v>
      </c>
      <c r="D384" s="108" t="n">
        <v>3.255</v>
      </c>
      <c r="E384" s="109" t="n">
        <v>1.6275</v>
      </c>
      <c r="F384" s="109" t="n">
        <v>1.6275</v>
      </c>
      <c r="G384" s="110"/>
    </row>
    <row r="385" customFormat="false" ht="15" hidden="false" customHeight="false" outlineLevel="0" collapsed="false">
      <c r="A385" s="102" t="s">
        <v>34</v>
      </c>
      <c r="B385" s="108"/>
      <c r="C385" s="108" t="n">
        <v>1.42</v>
      </c>
      <c r="D385" s="108" t="n">
        <v>5.6525</v>
      </c>
      <c r="E385" s="109" t="n">
        <v>3.53625</v>
      </c>
      <c r="F385" s="109" t="n">
        <v>2.11625</v>
      </c>
      <c r="G385" s="110"/>
    </row>
    <row r="386" customFormat="false" ht="15" hidden="false" customHeight="false" outlineLevel="0" collapsed="false">
      <c r="A386" s="102" t="s">
        <v>260</v>
      </c>
      <c r="B386" s="109" t="n">
        <v>4.15</v>
      </c>
      <c r="C386" s="109" t="n">
        <v>0.71</v>
      </c>
      <c r="D386" s="109" t="n">
        <v>4.45375</v>
      </c>
      <c r="E386" s="109" t="n">
        <v>2.8955</v>
      </c>
      <c r="F386" s="109" t="n">
        <v>1.99324258433338</v>
      </c>
      <c r="G386" s="110"/>
    </row>
    <row r="387" customFormat="false" ht="15" hidden="false" customHeight="false" outlineLevel="0" collapsed="false">
      <c r="A387" s="102" t="s">
        <v>494</v>
      </c>
      <c r="B387" s="109" t="n">
        <v>0</v>
      </c>
      <c r="C387" s="109" t="n">
        <v>0.71</v>
      </c>
      <c r="D387" s="109" t="n">
        <v>1.19875</v>
      </c>
      <c r="E387" s="109" t="n">
        <v>1.99324258433338</v>
      </c>
      <c r="F387" s="109" t="n">
        <v>1.99324258433338</v>
      </c>
      <c r="G387" s="110"/>
    </row>
    <row r="388" customFormat="false" ht="15" hidden="false" customHeight="false" outlineLevel="0" collapsed="false">
      <c r="G388" s="110"/>
    </row>
    <row r="389" customFormat="false" ht="15" hidden="false" customHeight="false" outlineLevel="0" collapsed="false">
      <c r="A389" s="96" t="s">
        <v>505</v>
      </c>
      <c r="G389" s="110"/>
    </row>
    <row r="390" customFormat="false" ht="15" hidden="false" customHeight="false" outlineLevel="0" collapsed="false">
      <c r="A390" s="101" t="s">
        <v>480</v>
      </c>
      <c r="B390" s="101" t="s">
        <v>112</v>
      </c>
      <c r="C390" s="101" t="s">
        <v>115</v>
      </c>
      <c r="D390" s="101" t="s">
        <v>119</v>
      </c>
      <c r="E390" s="101" t="s">
        <v>260</v>
      </c>
      <c r="F390" s="101" t="s">
        <v>494</v>
      </c>
      <c r="G390" s="110"/>
      <c r="H390" s="105" t="s">
        <v>33</v>
      </c>
      <c r="I390" s="106" t="s">
        <v>112</v>
      </c>
      <c r="J390" s="105" t="s">
        <v>96</v>
      </c>
      <c r="K390" s="106" t="s">
        <v>115</v>
      </c>
      <c r="L390" s="105" t="s">
        <v>34</v>
      </c>
      <c r="M390" s="107" t="s">
        <v>119</v>
      </c>
    </row>
    <row r="391" customFormat="false" ht="15" hidden="false" customHeight="false" outlineLevel="0" collapsed="false">
      <c r="A391" s="102" t="s">
        <v>33</v>
      </c>
      <c r="B391" s="108" t="n">
        <v>8.3</v>
      </c>
      <c r="C391" s="108"/>
      <c r="D391" s="108"/>
      <c r="E391" s="109" t="n">
        <v>8.3</v>
      </c>
      <c r="F391" s="109" t="n">
        <v>0</v>
      </c>
      <c r="G391" s="110" t="s">
        <v>369</v>
      </c>
      <c r="H391" s="111" t="n">
        <f aca="false">E391</f>
        <v>8.3</v>
      </c>
      <c r="I391" s="111" t="n">
        <f aca="false">B394</f>
        <v>8.3</v>
      </c>
      <c r="J391" s="111" t="n">
        <f aca="false">E392</f>
        <v>2.2575</v>
      </c>
      <c r="K391" s="111" t="n">
        <f aca="false">C394</f>
        <v>2.35</v>
      </c>
      <c r="L391" s="111" t="n">
        <f aca="false">E393</f>
        <v>7.993125</v>
      </c>
      <c r="M391" s="111" t="n">
        <f aca="false">D394</f>
        <v>7.900625</v>
      </c>
    </row>
    <row r="392" customFormat="false" ht="15" hidden="false" customHeight="false" outlineLevel="0" collapsed="false">
      <c r="A392" s="102" t="s">
        <v>96</v>
      </c>
      <c r="B392" s="108"/>
      <c r="C392" s="108" t="n">
        <v>0</v>
      </c>
      <c r="D392" s="108" t="n">
        <v>4.515</v>
      </c>
      <c r="E392" s="109" t="n">
        <v>2.2575</v>
      </c>
      <c r="F392" s="109" t="n">
        <v>2.2575</v>
      </c>
    </row>
    <row r="393" customFormat="false" ht="15" hidden="false" customHeight="false" outlineLevel="0" collapsed="false">
      <c r="A393" s="102" t="s">
        <v>34</v>
      </c>
      <c r="B393" s="108"/>
      <c r="C393" s="108" t="n">
        <v>4.7</v>
      </c>
      <c r="D393" s="108" t="n">
        <v>11.28625</v>
      </c>
      <c r="E393" s="109" t="n">
        <v>7.993125</v>
      </c>
      <c r="F393" s="109" t="n">
        <v>3.293125</v>
      </c>
      <c r="O393" s="0" t="n">
        <v>5.76025</v>
      </c>
    </row>
    <row r="394" customFormat="false" ht="15" hidden="false" customHeight="false" outlineLevel="0" collapsed="false">
      <c r="A394" s="102" t="s">
        <v>260</v>
      </c>
      <c r="B394" s="109" t="n">
        <v>8.3</v>
      </c>
      <c r="C394" s="109" t="n">
        <v>2.35</v>
      </c>
      <c r="D394" s="109" t="n">
        <v>7.900625</v>
      </c>
      <c r="E394" s="109" t="n">
        <v>5.76025</v>
      </c>
      <c r="F394" s="109" t="n">
        <v>3.81686425616631</v>
      </c>
    </row>
    <row r="395" customFormat="false" ht="15" hidden="false" customHeight="false" outlineLevel="0" collapsed="false">
      <c r="A395" s="102" t="s">
        <v>494</v>
      </c>
      <c r="B395" s="109" t="n">
        <v>0</v>
      </c>
      <c r="C395" s="109" t="n">
        <v>2.35</v>
      </c>
      <c r="D395" s="109" t="n">
        <v>3.385625</v>
      </c>
      <c r="E395" s="109" t="n">
        <v>3.81686425616631</v>
      </c>
      <c r="F395" s="109" t="n">
        <v>3.81686425616631</v>
      </c>
    </row>
    <row r="398" customFormat="false" ht="16.15" hidden="false" customHeight="false" outlineLevel="0" collapsed="false">
      <c r="A398" s="85" t="s">
        <v>506</v>
      </c>
    </row>
    <row r="400" customFormat="false" ht="15" hidden="false" customHeight="false" outlineLevel="0" collapsed="false">
      <c r="A400" s="101" t="s">
        <v>507</v>
      </c>
      <c r="B400" s="101" t="s">
        <v>133</v>
      </c>
      <c r="C400" s="101" t="s">
        <v>508</v>
      </c>
      <c r="D400" s="101" t="s">
        <v>154</v>
      </c>
      <c r="E400" s="101" t="s">
        <v>509</v>
      </c>
      <c r="F400" s="101" t="s">
        <v>136</v>
      </c>
      <c r="G400" s="101" t="s">
        <v>510</v>
      </c>
      <c r="H400" s="101" t="s">
        <v>157</v>
      </c>
      <c r="I400" s="101" t="s">
        <v>511</v>
      </c>
      <c r="J400" s="101" t="s">
        <v>139</v>
      </c>
    </row>
    <row r="401" customFormat="false" ht="15" hidden="false" customHeight="false" outlineLevel="0" collapsed="false">
      <c r="A401" s="102" t="s">
        <v>360</v>
      </c>
      <c r="B401" s="112" t="s">
        <v>512</v>
      </c>
      <c r="C401" s="103"/>
      <c r="D401" s="103"/>
      <c r="E401" s="103"/>
      <c r="F401" s="112" t="s">
        <v>410</v>
      </c>
      <c r="G401" s="103" t="s">
        <v>411</v>
      </c>
      <c r="H401" s="103"/>
      <c r="I401" s="103" t="s">
        <v>412</v>
      </c>
      <c r="J401" s="112" t="s">
        <v>513</v>
      </c>
    </row>
    <row r="402" customFormat="false" ht="15" hidden="false" customHeight="false" outlineLevel="0" collapsed="false">
      <c r="A402" s="102" t="s">
        <v>361</v>
      </c>
      <c r="B402" s="112" t="s">
        <v>514</v>
      </c>
      <c r="C402" s="103"/>
      <c r="D402" s="103"/>
      <c r="E402" s="103"/>
      <c r="F402" s="112" t="s">
        <v>410</v>
      </c>
      <c r="G402" s="103" t="s">
        <v>411</v>
      </c>
      <c r="H402" s="103"/>
      <c r="I402" s="103" t="s">
        <v>421</v>
      </c>
      <c r="J402" s="112" t="s">
        <v>515</v>
      </c>
    </row>
    <row r="403" customFormat="false" ht="15" hidden="false" customHeight="false" outlineLevel="0" collapsed="false">
      <c r="A403" s="102" t="s">
        <v>362</v>
      </c>
      <c r="B403" s="112" t="s">
        <v>514</v>
      </c>
      <c r="C403" s="103"/>
      <c r="D403" s="103"/>
      <c r="E403" s="103"/>
      <c r="F403" s="112" t="s">
        <v>410</v>
      </c>
      <c r="G403" s="103" t="s">
        <v>428</v>
      </c>
      <c r="H403" s="103"/>
      <c r="I403" s="103" t="s">
        <v>412</v>
      </c>
      <c r="J403" s="112" t="s">
        <v>515</v>
      </c>
    </row>
    <row r="404" customFormat="false" ht="15" hidden="false" customHeight="false" outlineLevel="0" collapsed="false">
      <c r="A404" s="102" t="s">
        <v>363</v>
      </c>
      <c r="B404" s="112" t="s">
        <v>512</v>
      </c>
      <c r="C404" s="103"/>
      <c r="D404" s="103"/>
      <c r="E404" s="103"/>
      <c r="F404" s="112" t="s">
        <v>410</v>
      </c>
      <c r="G404" s="103" t="s">
        <v>411</v>
      </c>
      <c r="H404" s="103"/>
      <c r="I404" s="103" t="s">
        <v>412</v>
      </c>
      <c r="J404" s="112" t="s">
        <v>516</v>
      </c>
    </row>
    <row r="405" customFormat="false" ht="15" hidden="false" customHeight="false" outlineLevel="0" collapsed="false">
      <c r="A405" s="102" t="s">
        <v>364</v>
      </c>
      <c r="B405" s="112" t="s">
        <v>517</v>
      </c>
      <c r="C405" s="103"/>
      <c r="D405" s="103"/>
      <c r="E405" s="103"/>
      <c r="F405" s="112" t="s">
        <v>410</v>
      </c>
      <c r="G405" s="103" t="s">
        <v>413</v>
      </c>
      <c r="H405" s="103"/>
      <c r="I405" s="103" t="s">
        <v>439</v>
      </c>
      <c r="J405" s="112" t="s">
        <v>518</v>
      </c>
    </row>
    <row r="406" customFormat="false" ht="15" hidden="false" customHeight="false" outlineLevel="0" collapsed="false">
      <c r="A406" s="102" t="s">
        <v>365</v>
      </c>
      <c r="B406" s="112" t="s">
        <v>517</v>
      </c>
      <c r="C406" s="103"/>
      <c r="D406" s="103"/>
      <c r="E406" s="103"/>
      <c r="F406" s="112" t="s">
        <v>410</v>
      </c>
      <c r="G406" s="103" t="s">
        <v>446</v>
      </c>
      <c r="H406" s="103"/>
      <c r="I406" s="103" t="s">
        <v>447</v>
      </c>
      <c r="J406" s="112" t="s">
        <v>519</v>
      </c>
    </row>
    <row r="407" customFormat="false" ht="15" hidden="false" customHeight="false" outlineLevel="0" collapsed="false">
      <c r="A407" s="102" t="s">
        <v>366</v>
      </c>
      <c r="B407" s="112" t="s">
        <v>520</v>
      </c>
      <c r="C407" s="103"/>
      <c r="D407" s="103"/>
      <c r="E407" s="103"/>
      <c r="F407" s="112" t="s">
        <v>410</v>
      </c>
      <c r="G407" s="103" t="s">
        <v>456</v>
      </c>
      <c r="H407" s="103"/>
      <c r="I407" s="103" t="s">
        <v>457</v>
      </c>
      <c r="J407" s="112" t="s">
        <v>521</v>
      </c>
    </row>
    <row r="408" customFormat="false" ht="15" hidden="false" customHeight="false" outlineLevel="0" collapsed="false">
      <c r="A408" s="102" t="s">
        <v>367</v>
      </c>
      <c r="B408" s="112" t="s">
        <v>522</v>
      </c>
      <c r="C408" s="103"/>
      <c r="D408" s="103"/>
      <c r="E408" s="103"/>
      <c r="F408" s="112" t="s">
        <v>410</v>
      </c>
      <c r="G408" s="103" t="s">
        <v>465</v>
      </c>
      <c r="H408" s="103"/>
      <c r="I408" s="103" t="s">
        <v>466</v>
      </c>
      <c r="J408" s="112" t="s">
        <v>523</v>
      </c>
    </row>
    <row r="409" customFormat="false" ht="15" hidden="false" customHeight="false" outlineLevel="0" collapsed="false">
      <c r="A409" s="102" t="s">
        <v>368</v>
      </c>
      <c r="B409" s="112" t="s">
        <v>522</v>
      </c>
      <c r="C409" s="103"/>
      <c r="D409" s="103"/>
      <c r="E409" s="103"/>
      <c r="F409" s="112" t="s">
        <v>410</v>
      </c>
      <c r="G409" s="103" t="s">
        <v>473</v>
      </c>
      <c r="H409" s="103"/>
      <c r="I409" s="103" t="s">
        <v>474</v>
      </c>
      <c r="J409" s="112" t="s">
        <v>524</v>
      </c>
    </row>
    <row r="410" customFormat="false" ht="15" hidden="false" customHeight="false" outlineLevel="0" collapsed="false">
      <c r="A410" s="102" t="s">
        <v>369</v>
      </c>
      <c r="B410" s="112" t="s">
        <v>525</v>
      </c>
      <c r="C410" s="103"/>
      <c r="D410" s="103"/>
      <c r="E410" s="103"/>
      <c r="F410" s="112" t="s">
        <v>410</v>
      </c>
      <c r="G410" s="103" t="s">
        <v>482</v>
      </c>
      <c r="H410" s="103"/>
      <c r="I410" s="103" t="s">
        <v>483</v>
      </c>
      <c r="J410" s="112" t="s">
        <v>526</v>
      </c>
    </row>
    <row r="413" customFormat="false" ht="16.15" hidden="false" customHeight="false" outlineLevel="0" collapsed="false">
      <c r="A413" s="85" t="s">
        <v>527</v>
      </c>
      <c r="B413" s="85"/>
      <c r="C413" s="85"/>
      <c r="D413" s="85"/>
      <c r="E413" s="85"/>
      <c r="F413" s="85"/>
      <c r="G413" s="85"/>
      <c r="H413" s="85"/>
      <c r="I413" s="85"/>
    </row>
    <row r="414" customFormat="false" ht="15" hidden="false" customHeight="false" outlineLevel="0" collapsed="false">
      <c r="A414" s="101" t="s">
        <v>528</v>
      </c>
      <c r="B414" s="101" t="s">
        <v>33</v>
      </c>
      <c r="C414" s="101" t="s">
        <v>115</v>
      </c>
      <c r="D414" s="101" t="s">
        <v>34</v>
      </c>
      <c r="F414" s="101" t="s">
        <v>529</v>
      </c>
      <c r="G414" s="101" t="s">
        <v>33</v>
      </c>
      <c r="H414" s="101" t="s">
        <v>112</v>
      </c>
      <c r="I414" s="101" t="s">
        <v>96</v>
      </c>
      <c r="J414" s="101" t="s">
        <v>115</v>
      </c>
      <c r="K414" s="101" t="s">
        <v>34</v>
      </c>
      <c r="L414" s="101" t="s">
        <v>119</v>
      </c>
      <c r="N414" s="101" t="s">
        <v>530</v>
      </c>
      <c r="O414" s="101" t="s">
        <v>133</v>
      </c>
      <c r="P414" s="101" t="s">
        <v>136</v>
      </c>
      <c r="Q414" s="101" t="s">
        <v>510</v>
      </c>
      <c r="R414" s="101" t="s">
        <v>511</v>
      </c>
      <c r="S414" s="101" t="s">
        <v>139</v>
      </c>
    </row>
    <row r="415" customFormat="false" ht="15" hidden="false" customHeight="false" outlineLevel="0" collapsed="false">
      <c r="A415" s="113" t="s">
        <v>271</v>
      </c>
      <c r="B415" s="113" t="n">
        <v>11</v>
      </c>
      <c r="C415" s="113" t="n">
        <v>4</v>
      </c>
      <c r="D415" s="113" t="n">
        <v>10</v>
      </c>
      <c r="F415" s="113" t="s">
        <v>271</v>
      </c>
      <c r="G415" s="113"/>
      <c r="H415" s="20"/>
      <c r="I415" s="20"/>
      <c r="J415" s="20"/>
      <c r="K415" s="20"/>
      <c r="L415" s="55"/>
      <c r="N415" s="113" t="s">
        <v>271</v>
      </c>
      <c r="O415" s="113" t="n">
        <v>11</v>
      </c>
      <c r="P415" s="110" t="n">
        <v>2</v>
      </c>
      <c r="Q415" s="110" t="n">
        <v>2</v>
      </c>
      <c r="R415" s="110" t="n">
        <v>2</v>
      </c>
      <c r="S415" s="110" t="n">
        <v>8</v>
      </c>
    </row>
    <row r="416" customFormat="false" ht="15" hidden="false" customHeight="false" outlineLevel="0" collapsed="false">
      <c r="A416" s="102" t="s">
        <v>360</v>
      </c>
      <c r="B416" s="103" t="s">
        <v>531</v>
      </c>
      <c r="C416" s="103" t="s">
        <v>532</v>
      </c>
      <c r="D416" s="103" t="s">
        <v>533</v>
      </c>
      <c r="F416" s="102" t="s">
        <v>360</v>
      </c>
      <c r="G416" s="114"/>
      <c r="H416" s="114"/>
      <c r="I416" s="114"/>
      <c r="J416" s="114"/>
      <c r="K416" s="114"/>
      <c r="L416" s="114"/>
      <c r="N416" s="102" t="s">
        <v>360</v>
      </c>
      <c r="O416" s="103" t="s">
        <v>531</v>
      </c>
      <c r="P416" s="112" t="s">
        <v>410</v>
      </c>
      <c r="Q416" s="103" t="s">
        <v>411</v>
      </c>
      <c r="R416" s="103" t="s">
        <v>412</v>
      </c>
      <c r="S416" s="112" t="s">
        <v>534</v>
      </c>
    </row>
    <row r="417" customFormat="false" ht="15" hidden="false" customHeight="false" outlineLevel="0" collapsed="false">
      <c r="A417" s="102" t="s">
        <v>361</v>
      </c>
      <c r="B417" s="103" t="s">
        <v>535</v>
      </c>
      <c r="C417" s="103" t="s">
        <v>536</v>
      </c>
      <c r="D417" s="103" t="s">
        <v>537</v>
      </c>
      <c r="F417" s="102" t="s">
        <v>361</v>
      </c>
      <c r="G417" s="114"/>
      <c r="H417" s="114"/>
      <c r="I417" s="114"/>
      <c r="J417" s="114"/>
      <c r="K417" s="114"/>
      <c r="L417" s="114"/>
      <c r="N417" s="102" t="s">
        <v>361</v>
      </c>
      <c r="O417" s="103" t="s">
        <v>535</v>
      </c>
      <c r="P417" s="112" t="s">
        <v>410</v>
      </c>
      <c r="Q417" s="103" t="s">
        <v>411</v>
      </c>
      <c r="R417" s="103" t="s">
        <v>421</v>
      </c>
      <c r="S417" s="112" t="s">
        <v>538</v>
      </c>
    </row>
    <row r="418" customFormat="false" ht="15" hidden="false" customHeight="false" outlineLevel="0" collapsed="false">
      <c r="A418" s="102" t="s">
        <v>362</v>
      </c>
      <c r="B418" s="103" t="s">
        <v>535</v>
      </c>
      <c r="C418" s="103" t="s">
        <v>532</v>
      </c>
      <c r="D418" s="103" t="s">
        <v>539</v>
      </c>
      <c r="F418" s="102" t="s">
        <v>362</v>
      </c>
      <c r="G418" s="114"/>
      <c r="H418" s="114"/>
      <c r="I418" s="114"/>
      <c r="J418" s="114"/>
      <c r="K418" s="114"/>
      <c r="L418" s="114"/>
      <c r="N418" s="102" t="s">
        <v>362</v>
      </c>
      <c r="O418" s="103" t="s">
        <v>535</v>
      </c>
      <c r="P418" s="112" t="s">
        <v>410</v>
      </c>
      <c r="Q418" s="103" t="s">
        <v>428</v>
      </c>
      <c r="R418" s="103" t="s">
        <v>412</v>
      </c>
      <c r="S418" s="112" t="s">
        <v>538</v>
      </c>
    </row>
    <row r="419" customFormat="false" ht="15" hidden="false" customHeight="false" outlineLevel="0" collapsed="false">
      <c r="A419" s="102" t="s">
        <v>363</v>
      </c>
      <c r="B419" s="103" t="s">
        <v>531</v>
      </c>
      <c r="C419" s="103" t="s">
        <v>532</v>
      </c>
      <c r="D419" s="103" t="s">
        <v>540</v>
      </c>
      <c r="F419" s="102" t="s">
        <v>363</v>
      </c>
      <c r="G419" s="114"/>
      <c r="H419" s="114"/>
      <c r="I419" s="114"/>
      <c r="J419" s="114"/>
      <c r="K419" s="114"/>
      <c r="L419" s="114"/>
      <c r="N419" s="102" t="s">
        <v>363</v>
      </c>
      <c r="O419" s="103" t="s">
        <v>531</v>
      </c>
      <c r="P419" s="112" t="s">
        <v>410</v>
      </c>
      <c r="Q419" s="103" t="s">
        <v>411</v>
      </c>
      <c r="R419" s="103" t="s">
        <v>412</v>
      </c>
      <c r="S419" s="112" t="s">
        <v>541</v>
      </c>
    </row>
    <row r="420" customFormat="false" ht="15" hidden="false" customHeight="false" outlineLevel="0" collapsed="false">
      <c r="A420" s="102" t="s">
        <v>364</v>
      </c>
      <c r="B420" s="103" t="s">
        <v>542</v>
      </c>
      <c r="C420" s="103" t="s">
        <v>543</v>
      </c>
      <c r="D420" s="103" t="s">
        <v>544</v>
      </c>
      <c r="F420" s="102" t="s">
        <v>364</v>
      </c>
      <c r="G420" s="114"/>
      <c r="H420" s="114"/>
      <c r="I420" s="114"/>
      <c r="J420" s="114"/>
      <c r="K420" s="114"/>
      <c r="L420" s="114"/>
      <c r="N420" s="102" t="s">
        <v>364</v>
      </c>
      <c r="O420" s="103" t="s">
        <v>542</v>
      </c>
      <c r="P420" s="112" t="s">
        <v>410</v>
      </c>
      <c r="Q420" s="103" t="s">
        <v>413</v>
      </c>
      <c r="R420" s="103" t="s">
        <v>439</v>
      </c>
      <c r="S420" s="112" t="s">
        <v>545</v>
      </c>
    </row>
    <row r="421" customFormat="false" ht="15" hidden="false" customHeight="false" outlineLevel="0" collapsed="false">
      <c r="A421" s="102" t="s">
        <v>365</v>
      </c>
      <c r="B421" s="103" t="s">
        <v>542</v>
      </c>
      <c r="C421" s="103" t="s">
        <v>546</v>
      </c>
      <c r="D421" s="103" t="s">
        <v>547</v>
      </c>
      <c r="F421" s="102" t="s">
        <v>365</v>
      </c>
      <c r="G421" s="114"/>
      <c r="H421" s="114"/>
      <c r="I421" s="114"/>
      <c r="J421" s="114"/>
      <c r="K421" s="114"/>
      <c r="L421" s="114"/>
      <c r="N421" s="102" t="s">
        <v>365</v>
      </c>
      <c r="O421" s="103" t="s">
        <v>542</v>
      </c>
      <c r="P421" s="112" t="s">
        <v>410</v>
      </c>
      <c r="Q421" s="103" t="s">
        <v>446</v>
      </c>
      <c r="R421" s="103" t="s">
        <v>447</v>
      </c>
      <c r="S421" s="112" t="s">
        <v>548</v>
      </c>
    </row>
    <row r="422" customFormat="false" ht="15" hidden="false" customHeight="false" outlineLevel="0" collapsed="false">
      <c r="A422" s="102" t="s">
        <v>366</v>
      </c>
      <c r="B422" s="103" t="s">
        <v>549</v>
      </c>
      <c r="C422" s="103" t="s">
        <v>550</v>
      </c>
      <c r="D422" s="103" t="s">
        <v>551</v>
      </c>
      <c r="F422" s="102" t="s">
        <v>366</v>
      </c>
      <c r="G422" s="114"/>
      <c r="H422" s="114"/>
      <c r="I422" s="114"/>
      <c r="J422" s="114"/>
      <c r="K422" s="114"/>
      <c r="L422" s="114"/>
      <c r="N422" s="102" t="s">
        <v>366</v>
      </c>
      <c r="O422" s="103" t="s">
        <v>549</v>
      </c>
      <c r="P422" s="112" t="s">
        <v>410</v>
      </c>
      <c r="Q422" s="103" t="s">
        <v>456</v>
      </c>
      <c r="R422" s="103" t="s">
        <v>457</v>
      </c>
      <c r="S422" s="112" t="s">
        <v>552</v>
      </c>
    </row>
    <row r="423" customFormat="false" ht="15" hidden="false" customHeight="false" outlineLevel="0" collapsed="false">
      <c r="A423" s="102" t="s">
        <v>367</v>
      </c>
      <c r="B423" s="103" t="s">
        <v>553</v>
      </c>
      <c r="C423" s="103" t="s">
        <v>554</v>
      </c>
      <c r="D423" s="103" t="s">
        <v>555</v>
      </c>
      <c r="F423" s="102" t="s">
        <v>367</v>
      </c>
      <c r="G423" s="114"/>
      <c r="H423" s="114"/>
      <c r="I423" s="114"/>
      <c r="J423" s="114"/>
      <c r="K423" s="114"/>
      <c r="L423" s="114"/>
      <c r="N423" s="102" t="s">
        <v>367</v>
      </c>
      <c r="O423" s="103" t="s">
        <v>553</v>
      </c>
      <c r="P423" s="112" t="s">
        <v>410</v>
      </c>
      <c r="Q423" s="103" t="s">
        <v>465</v>
      </c>
      <c r="R423" s="103" t="s">
        <v>466</v>
      </c>
      <c r="S423" s="112" t="s">
        <v>556</v>
      </c>
    </row>
    <row r="424" customFormat="false" ht="15" hidden="false" customHeight="false" outlineLevel="0" collapsed="false">
      <c r="A424" s="102" t="s">
        <v>368</v>
      </c>
      <c r="B424" s="103" t="s">
        <v>553</v>
      </c>
      <c r="C424" s="103" t="s">
        <v>557</v>
      </c>
      <c r="D424" s="103" t="s">
        <v>558</v>
      </c>
      <c r="F424" s="102" t="s">
        <v>368</v>
      </c>
      <c r="G424" s="114"/>
      <c r="H424" s="114"/>
      <c r="I424" s="114"/>
      <c r="J424" s="114"/>
      <c r="K424" s="114"/>
      <c r="L424" s="114"/>
      <c r="N424" s="102" t="s">
        <v>368</v>
      </c>
      <c r="O424" s="103" t="s">
        <v>553</v>
      </c>
      <c r="P424" s="112" t="s">
        <v>410</v>
      </c>
      <c r="Q424" s="103" t="s">
        <v>473</v>
      </c>
      <c r="R424" s="103" t="s">
        <v>474</v>
      </c>
      <c r="S424" s="112" t="s">
        <v>559</v>
      </c>
    </row>
    <row r="425" customFormat="false" ht="15" hidden="false" customHeight="false" outlineLevel="0" collapsed="false">
      <c r="A425" s="102" t="s">
        <v>369</v>
      </c>
      <c r="B425" s="103" t="s">
        <v>560</v>
      </c>
      <c r="C425" s="103" t="s">
        <v>561</v>
      </c>
      <c r="D425" s="103" t="s">
        <v>562</v>
      </c>
      <c r="F425" s="102" t="s">
        <v>369</v>
      </c>
      <c r="G425" s="114"/>
      <c r="H425" s="114"/>
      <c r="I425" s="114"/>
      <c r="J425" s="114"/>
      <c r="K425" s="114"/>
      <c r="L425" s="114"/>
      <c r="N425" s="102" t="s">
        <v>369</v>
      </c>
      <c r="O425" s="103" t="s">
        <v>560</v>
      </c>
      <c r="P425" s="112" t="s">
        <v>410</v>
      </c>
      <c r="Q425" s="103" t="s">
        <v>482</v>
      </c>
      <c r="R425" s="103" t="s">
        <v>483</v>
      </c>
      <c r="S425" s="112" t="s">
        <v>563</v>
      </c>
    </row>
    <row r="428" customFormat="false" ht="16.15" hidden="false" customHeight="false" outlineLevel="0" collapsed="false">
      <c r="A428" s="85" t="s">
        <v>564</v>
      </c>
    </row>
    <row r="430" customFormat="false" ht="15" hidden="false" customHeight="false" outlineLevel="0" collapsed="false">
      <c r="A430" s="115" t="s">
        <v>565</v>
      </c>
      <c r="B430" s="115" t="s">
        <v>566</v>
      </c>
      <c r="C430" s="115" t="s">
        <v>567</v>
      </c>
      <c r="D430" s="115" t="s">
        <v>568</v>
      </c>
      <c r="E430" s="115" t="s">
        <v>569</v>
      </c>
    </row>
    <row r="431" customFormat="false" ht="15" hidden="false" customHeight="false" outlineLevel="0" collapsed="false">
      <c r="A431" s="116" t="s">
        <v>360</v>
      </c>
      <c r="B431" s="108" t="n">
        <v>0.2032</v>
      </c>
      <c r="C431" s="108" t="n">
        <v>2.57863796605883</v>
      </c>
      <c r="D431" s="108" t="s">
        <v>570</v>
      </c>
      <c r="E431" s="108" t="s">
        <v>571</v>
      </c>
    </row>
    <row r="432" customFormat="false" ht="15" hidden="false" customHeight="false" outlineLevel="0" collapsed="false">
      <c r="A432" s="116" t="s">
        <v>361</v>
      </c>
      <c r="B432" s="108" t="n">
        <v>-0.6512</v>
      </c>
      <c r="C432" s="108" t="n">
        <v>2.26282181357702</v>
      </c>
      <c r="D432" s="108" t="s">
        <v>572</v>
      </c>
      <c r="E432" s="108" t="s">
        <v>573</v>
      </c>
    </row>
    <row r="433" customFormat="false" ht="15" hidden="false" customHeight="false" outlineLevel="0" collapsed="false">
      <c r="A433" s="116" t="s">
        <v>362</v>
      </c>
      <c r="B433" s="108" t="n">
        <v>-0.6624</v>
      </c>
      <c r="C433" s="108" t="n">
        <v>2.26679205927672</v>
      </c>
      <c r="D433" s="108" t="s">
        <v>572</v>
      </c>
      <c r="E433" s="108" t="s">
        <v>573</v>
      </c>
    </row>
    <row r="434" customFormat="false" ht="15" hidden="false" customHeight="false" outlineLevel="0" collapsed="false">
      <c r="A434" s="116" t="s">
        <v>363</v>
      </c>
      <c r="B434" s="108" t="n">
        <v>0.1976</v>
      </c>
      <c r="C434" s="108" t="n">
        <v>2.58415832332309</v>
      </c>
      <c r="D434" s="108" t="s">
        <v>570</v>
      </c>
      <c r="E434" s="108" t="s">
        <v>574</v>
      </c>
    </row>
    <row r="435" customFormat="false" ht="15" hidden="false" customHeight="false" outlineLevel="0" collapsed="false">
      <c r="A435" s="116" t="s">
        <v>364</v>
      </c>
      <c r="B435" s="108" t="n">
        <v>-0.448</v>
      </c>
      <c r="C435" s="108" t="n">
        <v>4.79715999316262</v>
      </c>
      <c r="D435" s="108" t="s">
        <v>575</v>
      </c>
      <c r="E435" s="108" t="s">
        <v>576</v>
      </c>
    </row>
    <row r="436" customFormat="false" ht="15" hidden="false" customHeight="false" outlineLevel="0" collapsed="false">
      <c r="A436" s="116" t="s">
        <v>365</v>
      </c>
      <c r="B436" s="108" t="n">
        <v>-0.4648</v>
      </c>
      <c r="C436" s="108" t="n">
        <v>4.80301498644341</v>
      </c>
      <c r="D436" s="108" t="s">
        <v>577</v>
      </c>
      <c r="E436" s="108" t="s">
        <v>578</v>
      </c>
    </row>
    <row r="437" customFormat="false" ht="15" hidden="false" customHeight="false" outlineLevel="0" collapsed="false">
      <c r="A437" s="116" t="s">
        <v>366</v>
      </c>
      <c r="B437" s="108" t="n">
        <v>-0.912799999999999</v>
      </c>
      <c r="C437" s="108" t="n">
        <v>9.56874182742956</v>
      </c>
      <c r="D437" s="108" t="s">
        <v>579</v>
      </c>
      <c r="E437" s="108" t="s">
        <v>580</v>
      </c>
    </row>
    <row r="438" customFormat="false" ht="15" hidden="false" customHeight="false" outlineLevel="0" collapsed="false">
      <c r="A438" s="116" t="s">
        <v>367</v>
      </c>
      <c r="B438" s="108" t="n">
        <v>3.992</v>
      </c>
      <c r="C438" s="108" t="n">
        <v>2.74764335385799</v>
      </c>
      <c r="D438" s="108" t="s">
        <v>581</v>
      </c>
      <c r="E438" s="108" t="s">
        <v>582</v>
      </c>
    </row>
    <row r="439" customFormat="false" ht="15" hidden="false" customHeight="false" outlineLevel="0" collapsed="false">
      <c r="A439" s="116" t="s">
        <v>368</v>
      </c>
      <c r="B439" s="108" t="n">
        <v>4.0088</v>
      </c>
      <c r="C439" s="108" t="n">
        <v>2.73617882456538</v>
      </c>
      <c r="D439" s="108" t="s">
        <v>581</v>
      </c>
      <c r="E439" s="108" t="s">
        <v>583</v>
      </c>
    </row>
    <row r="440" customFormat="false" ht="15" hidden="false" customHeight="false" outlineLevel="0" collapsed="false">
      <c r="A440" s="116" t="s">
        <v>369</v>
      </c>
      <c r="B440" s="108" t="n">
        <v>8.0008</v>
      </c>
      <c r="C440" s="108" t="n">
        <v>5.42861523410897</v>
      </c>
      <c r="D440" s="108" t="s">
        <v>584</v>
      </c>
      <c r="E440" s="108" t="s">
        <v>585</v>
      </c>
    </row>
    <row r="445" customFormat="false" ht="15" hidden="false" customHeight="false" outlineLevel="0" collapsed="false">
      <c r="A445" s="0" t="s">
        <v>271</v>
      </c>
      <c r="B445" s="117" t="n">
        <v>11</v>
      </c>
      <c r="C445" s="117" t="n">
        <v>11</v>
      </c>
      <c r="D445" s="117" t="n">
        <v>4</v>
      </c>
      <c r="E445" s="117" t="n">
        <v>4</v>
      </c>
      <c r="F445" s="117" t="n">
        <v>10</v>
      </c>
      <c r="G445" s="117" t="n">
        <v>10</v>
      </c>
    </row>
    <row r="446" customFormat="false" ht="15" hidden="false" customHeight="false" outlineLevel="0" collapsed="false">
      <c r="A446" s="110" t="s">
        <v>360</v>
      </c>
      <c r="B446" s="118" t="n">
        <v>2.59090909090909</v>
      </c>
      <c r="C446" s="118" t="n">
        <v>2.59090909090909</v>
      </c>
      <c r="D446" s="118" t="n">
        <v>-0.315</v>
      </c>
      <c r="E446" s="118" t="n">
        <v>-0.355</v>
      </c>
      <c r="F446" s="118" t="n">
        <v>-1.65125</v>
      </c>
      <c r="G446" s="118" t="n">
        <v>-1.61125</v>
      </c>
    </row>
    <row r="447" customFormat="false" ht="15" hidden="false" customHeight="false" outlineLevel="0" collapsed="false">
      <c r="A447" s="110" t="s">
        <v>361</v>
      </c>
      <c r="B447" s="118" t="n">
        <v>1.31363636363636</v>
      </c>
      <c r="C447" s="118" t="n">
        <v>1.31363636363636</v>
      </c>
      <c r="D447" s="118" t="n">
        <v>-0.315</v>
      </c>
      <c r="E447" s="118" t="n">
        <v>-1.285</v>
      </c>
      <c r="F447" s="118" t="n">
        <v>-2.805625</v>
      </c>
      <c r="G447" s="118" t="n">
        <v>-1.835625</v>
      </c>
    </row>
    <row r="448" customFormat="false" ht="15" hidden="false" customHeight="false" outlineLevel="0" collapsed="false">
      <c r="A448" s="110" t="s">
        <v>362</v>
      </c>
      <c r="B448" s="118" t="n">
        <v>1.31363636363636</v>
      </c>
      <c r="C448" s="118" t="n">
        <v>1.31363636363636</v>
      </c>
      <c r="D448" s="118" t="n">
        <v>-1.3125</v>
      </c>
      <c r="E448" s="118" t="n">
        <v>-0.355</v>
      </c>
      <c r="F448" s="118" t="n">
        <v>-1.87625</v>
      </c>
      <c r="G448" s="118" t="n">
        <v>-2.83375</v>
      </c>
    </row>
    <row r="449" customFormat="false" ht="15" hidden="false" customHeight="false" outlineLevel="0" collapsed="false">
      <c r="A449" s="110" t="s">
        <v>363</v>
      </c>
      <c r="B449" s="118" t="n">
        <v>2.59090909090909</v>
      </c>
      <c r="C449" s="118" t="n">
        <v>2.59090909090909</v>
      </c>
      <c r="D449" s="118" t="n">
        <v>-0.315</v>
      </c>
      <c r="E449" s="118" t="n">
        <v>-0.355</v>
      </c>
      <c r="F449" s="118" t="n">
        <v>-1.66</v>
      </c>
      <c r="G449" s="118" t="n">
        <v>-1.62</v>
      </c>
    </row>
    <row r="450" customFormat="false" ht="15" hidden="false" customHeight="false" outlineLevel="0" collapsed="false">
      <c r="A450" s="110" t="s">
        <v>364</v>
      </c>
      <c r="B450" s="118" t="n">
        <v>3.90454545454546</v>
      </c>
      <c r="C450" s="118" t="n">
        <v>3.90454545454546</v>
      </c>
      <c r="D450" s="118" t="n">
        <v>-0.63</v>
      </c>
      <c r="E450" s="118" t="n">
        <v>-1.64</v>
      </c>
      <c r="F450" s="118" t="n">
        <v>-4.456875</v>
      </c>
      <c r="G450" s="118" t="n">
        <v>-3.446875</v>
      </c>
    </row>
    <row r="451" customFormat="false" ht="15" hidden="false" customHeight="false" outlineLevel="0" collapsed="false">
      <c r="A451" s="110" t="s">
        <v>365</v>
      </c>
      <c r="B451" s="118" t="n">
        <v>3.90454545454546</v>
      </c>
      <c r="C451" s="118" t="n">
        <v>3.90454545454546</v>
      </c>
      <c r="D451" s="118" t="n">
        <v>-1.6275</v>
      </c>
      <c r="E451" s="118" t="n">
        <v>-0.71</v>
      </c>
      <c r="F451" s="118" t="n">
        <v>-3.53625</v>
      </c>
      <c r="G451" s="118" t="n">
        <v>-4.45375</v>
      </c>
    </row>
    <row r="452" customFormat="false" ht="15" hidden="false" customHeight="false" outlineLevel="0" collapsed="false">
      <c r="A452" s="110" t="s">
        <v>366</v>
      </c>
      <c r="B452" s="118" t="n">
        <v>7.80909090909091</v>
      </c>
      <c r="C452" s="118" t="n">
        <v>7.80909090909091</v>
      </c>
      <c r="D452" s="118" t="n">
        <v>-2.2575</v>
      </c>
      <c r="E452" s="118" t="n">
        <v>-2.35</v>
      </c>
      <c r="F452" s="118" t="n">
        <v>-7.993125</v>
      </c>
      <c r="G452" s="118" t="n">
        <v>-7.900625</v>
      </c>
    </row>
    <row r="453" customFormat="false" ht="15" hidden="false" customHeight="false" outlineLevel="0" collapsed="false">
      <c r="A453" s="110" t="s">
        <v>367</v>
      </c>
      <c r="B453" s="118" t="n">
        <v>4.15</v>
      </c>
      <c r="C453" s="118" t="n">
        <v>4.15</v>
      </c>
      <c r="D453" s="118" t="n">
        <v>0.63</v>
      </c>
      <c r="E453" s="118" t="n">
        <v>1.64</v>
      </c>
      <c r="F453" s="118" t="n">
        <v>4.456875</v>
      </c>
      <c r="G453" s="118" t="n">
        <v>3.446875</v>
      </c>
    </row>
    <row r="454" customFormat="false" ht="15" hidden="false" customHeight="false" outlineLevel="0" collapsed="false">
      <c r="A454" s="110" t="s">
        <v>368</v>
      </c>
      <c r="B454" s="118" t="n">
        <v>4.15</v>
      </c>
      <c r="C454" s="118" t="n">
        <v>4.15</v>
      </c>
      <c r="D454" s="118" t="n">
        <v>1.6275</v>
      </c>
      <c r="E454" s="118" t="n">
        <v>0.71</v>
      </c>
      <c r="F454" s="118" t="n">
        <v>3.53625</v>
      </c>
      <c r="G454" s="118" t="n">
        <v>4.45375</v>
      </c>
    </row>
    <row r="455" customFormat="false" ht="15" hidden="false" customHeight="false" outlineLevel="0" collapsed="false">
      <c r="A455" s="110" t="s">
        <v>369</v>
      </c>
      <c r="B455" s="118" t="n">
        <v>8.3</v>
      </c>
      <c r="C455" s="118" t="n">
        <v>8.3</v>
      </c>
      <c r="D455" s="118" t="n">
        <v>2.2575</v>
      </c>
      <c r="E455" s="118" t="n">
        <v>2.35</v>
      </c>
      <c r="F455" s="118" t="n">
        <v>7.993125</v>
      </c>
      <c r="G455" s="118" t="n">
        <v>7.900625</v>
      </c>
    </row>
    <row r="456" customFormat="false" ht="15" hidden="false" customHeight="false" outlineLevel="0" collapsed="false">
      <c r="A456" s="110"/>
      <c r="B456" s="118"/>
      <c r="C456" s="118"/>
      <c r="D456" s="118"/>
      <c r="E456" s="118"/>
      <c r="F456" s="118"/>
      <c r="G456" s="118"/>
    </row>
    <row r="457" customFormat="false" ht="15" hidden="false" customHeight="false" outlineLevel="0" collapsed="false">
      <c r="A457" s="110"/>
      <c r="B457" s="118"/>
      <c r="C457" s="118"/>
      <c r="D457" s="118"/>
      <c r="E457" s="118"/>
      <c r="F457" s="118"/>
      <c r="G457" s="118"/>
    </row>
    <row r="458" customFormat="false" ht="15" hidden="false" customHeight="false" outlineLevel="0" collapsed="false">
      <c r="A458" s="110"/>
      <c r="B458" s="118"/>
      <c r="C458" s="118"/>
      <c r="D458" s="118"/>
      <c r="E458" s="118"/>
      <c r="F458" s="118"/>
      <c r="G458" s="118"/>
    </row>
    <row r="460" customFormat="false" ht="15" hidden="false" customHeight="false" outlineLevel="0" collapsed="false">
      <c r="A460" s="110"/>
      <c r="B460" s="118"/>
      <c r="C460" s="118"/>
      <c r="D460" s="118"/>
      <c r="E460" s="118"/>
      <c r="F460" s="118"/>
      <c r="G460" s="118"/>
    </row>
    <row r="461" customFormat="false" ht="15" hidden="false" customHeight="false" outlineLevel="0" collapsed="false">
      <c r="A461" s="110"/>
      <c r="B461" s="118"/>
      <c r="C461" s="118"/>
      <c r="D461" s="118"/>
      <c r="E461" s="118"/>
      <c r="F461" s="118"/>
      <c r="G461" s="118"/>
    </row>
    <row r="462" customFormat="false" ht="15" hidden="false" customHeight="false" outlineLevel="0" collapsed="false">
      <c r="A462" s="110"/>
      <c r="B462" s="118"/>
      <c r="C462" s="118"/>
      <c r="D462" s="118"/>
      <c r="E462" s="118"/>
      <c r="F462" s="118"/>
      <c r="G462" s="118"/>
    </row>
    <row r="463" customFormat="false" ht="15" hidden="false" customHeight="false" outlineLevel="0" collapsed="false">
      <c r="A463" s="110"/>
      <c r="B463" s="118"/>
      <c r="C463" s="118"/>
      <c r="D463" s="118"/>
      <c r="E463" s="118"/>
      <c r="F463" s="118"/>
      <c r="G463" s="118"/>
    </row>
    <row r="464" customFormat="false" ht="15" hidden="false" customHeight="false" outlineLevel="0" collapsed="false">
      <c r="A464" s="110"/>
      <c r="B464" s="118"/>
      <c r="C464" s="118"/>
      <c r="D464" s="118"/>
      <c r="E464" s="118"/>
      <c r="F464" s="118"/>
      <c r="G464" s="118"/>
    </row>
    <row r="465" customFormat="false" ht="15" hidden="false" customHeight="false" outlineLevel="0" collapsed="false">
      <c r="A465" s="110"/>
      <c r="B465" s="118"/>
      <c r="C465" s="118"/>
      <c r="D465" s="118"/>
      <c r="E465" s="118"/>
      <c r="F465" s="118"/>
      <c r="G465" s="118"/>
    </row>
    <row r="466" customFormat="false" ht="15" hidden="false" customHeight="false" outlineLevel="0" collapsed="false">
      <c r="A466" s="110"/>
      <c r="B466" s="118"/>
      <c r="C466" s="118"/>
      <c r="D466" s="118"/>
      <c r="E466" s="118"/>
      <c r="F466" s="118"/>
      <c r="G466" s="118"/>
    </row>
    <row r="470" customFormat="false" ht="15" hidden="false" customHeight="false" outlineLevel="0" collapsed="false">
      <c r="A470" s="110"/>
      <c r="B470" s="118"/>
      <c r="C470" s="118"/>
      <c r="D470" s="118"/>
      <c r="E470" s="118"/>
      <c r="F470" s="118"/>
      <c r="G470" s="118"/>
    </row>
    <row r="471" customFormat="false" ht="15" hidden="false" customHeight="false" outlineLevel="0" collapsed="false">
      <c r="A471" s="110"/>
      <c r="B471" s="118"/>
      <c r="C471" s="118"/>
      <c r="D471" s="118"/>
      <c r="E471" s="118"/>
      <c r="F471" s="118"/>
      <c r="G471" s="118"/>
    </row>
    <row r="472" customFormat="false" ht="15" hidden="false" customHeight="false" outlineLevel="0" collapsed="false">
      <c r="A472" s="110"/>
      <c r="B472" s="118"/>
      <c r="C472" s="118"/>
      <c r="D472" s="118"/>
      <c r="E472" s="118"/>
      <c r="F472" s="118"/>
      <c r="G472" s="118"/>
    </row>
    <row r="473" customFormat="false" ht="15" hidden="false" customHeight="false" outlineLevel="0" collapsed="false">
      <c r="A473" s="110"/>
      <c r="B473" s="118"/>
      <c r="C473" s="118"/>
      <c r="D473" s="118"/>
      <c r="E473" s="118"/>
      <c r="F473" s="118"/>
      <c r="G473" s="118"/>
    </row>
    <row r="474" customFormat="false" ht="15" hidden="false" customHeight="false" outlineLevel="0" collapsed="false">
      <c r="A474" s="110"/>
      <c r="B474" s="118"/>
      <c r="C474" s="118"/>
      <c r="D474" s="118"/>
      <c r="E474" s="118"/>
      <c r="F474" s="118"/>
      <c r="G474" s="118"/>
    </row>
    <row r="476" customFormat="false" ht="15" hidden="false" customHeight="false" outlineLevel="0" collapsed="false">
      <c r="A476" s="110"/>
      <c r="B476" s="118"/>
      <c r="C476" s="118"/>
      <c r="D476" s="118"/>
      <c r="E476" s="118"/>
      <c r="F476" s="118"/>
      <c r="G476" s="118"/>
    </row>
    <row r="477" customFormat="false" ht="15" hidden="false" customHeight="false" outlineLevel="0" collapsed="false">
      <c r="A477" s="110"/>
      <c r="B477" s="118"/>
      <c r="C477" s="118"/>
      <c r="D477" s="118"/>
      <c r="E477" s="118"/>
      <c r="F477" s="118"/>
      <c r="G477" s="118"/>
    </row>
    <row r="478" customFormat="false" ht="15" hidden="false" customHeight="false" outlineLevel="0" collapsed="false">
      <c r="A478" s="110"/>
      <c r="B478" s="118"/>
      <c r="C478" s="118"/>
      <c r="D478" s="118"/>
      <c r="E478" s="118"/>
      <c r="F478" s="118"/>
      <c r="G478" s="118"/>
    </row>
    <row r="479" customFormat="false" ht="15" hidden="false" customHeight="false" outlineLevel="0" collapsed="false">
      <c r="A479" s="110"/>
      <c r="B479" s="118"/>
      <c r="C479" s="118"/>
      <c r="D479" s="118"/>
      <c r="E479" s="118"/>
      <c r="F479" s="118"/>
      <c r="G479" s="118"/>
    </row>
    <row r="480" customFormat="false" ht="15" hidden="false" customHeight="false" outlineLevel="0" collapsed="false">
      <c r="A480" s="110"/>
      <c r="B480" s="118"/>
      <c r="C480" s="118"/>
      <c r="D480" s="118"/>
      <c r="E480" s="118"/>
      <c r="F480" s="118"/>
      <c r="G480" s="118"/>
    </row>
    <row r="481" customFormat="false" ht="15" hidden="false" customHeight="false" outlineLevel="0" collapsed="false">
      <c r="A481" s="110"/>
      <c r="B481" s="118"/>
      <c r="C481" s="118"/>
      <c r="D481" s="118"/>
      <c r="E481" s="118"/>
      <c r="F481" s="118"/>
      <c r="G481" s="118"/>
    </row>
    <row r="482" customFormat="false" ht="15" hidden="false" customHeight="false" outlineLevel="0" collapsed="false">
      <c r="A482" s="110"/>
      <c r="B482" s="118"/>
      <c r="C482" s="118"/>
      <c r="D482" s="118"/>
      <c r="E482" s="118"/>
      <c r="F482" s="118"/>
      <c r="G482" s="118"/>
    </row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6">
    <mergeCell ref="C1:E3"/>
    <mergeCell ref="C4:E5"/>
    <mergeCell ref="L18:P18"/>
    <mergeCell ref="L72:P72"/>
    <mergeCell ref="L113:P113"/>
    <mergeCell ref="A413:I41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27"/>
  <sheetViews>
    <sheetView showFormulas="false" showGridLines="true" showRowColHeaders="true" showZeros="true" rightToLeft="false" tabSelected="false" showOutlineSymbols="true" defaultGridColor="true" view="normal" topLeftCell="A1" colorId="64" zoomScale="197" zoomScaleNormal="197" zoomScalePageLayoutView="100" workbookViewId="0">
      <selection pane="topLeft" activeCell="A1" activeCellId="0" sqref="A1"/>
    </sheetView>
  </sheetViews>
  <sheetFormatPr defaultColWidth="8.60546875" defaultRowHeight="15" customHeight="false" zeroHeight="false" outlineLevelRow="0" outlineLevelCol="0"/>
  <sheetData>
    <row r="1" customFormat="false" ht="19.5" hidden="false" customHeight="true" outlineLevel="0" collapsed="false">
      <c r="A1" s="1"/>
      <c r="B1" s="1"/>
      <c r="C1" s="2" t="s">
        <v>586</v>
      </c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customFormat="false" ht="19.5" hidden="false" customHeight="true" outlineLevel="0" collapsed="false">
      <c r="A2" s="1"/>
      <c r="B2" s="1"/>
      <c r="C2" s="2"/>
      <c r="D2" s="2"/>
      <c r="E2" s="2"/>
      <c r="F2" s="3"/>
      <c r="G2" s="4" t="s">
        <v>1</v>
      </c>
      <c r="H2" s="5" t="s">
        <v>2</v>
      </c>
      <c r="I2" s="3"/>
      <c r="J2" s="3"/>
      <c r="K2" s="3"/>
      <c r="L2" s="3"/>
      <c r="M2" s="3"/>
      <c r="N2" s="3"/>
      <c r="O2" s="3"/>
      <c r="P2" s="3"/>
      <c r="Q2" s="3"/>
      <c r="R2" s="3"/>
    </row>
    <row r="3" customFormat="false" ht="19.5" hidden="false" customHeight="true" outlineLevel="0" collapsed="false">
      <c r="A3" s="1"/>
      <c r="B3" s="1"/>
      <c r="C3" s="2"/>
      <c r="D3" s="2"/>
      <c r="E3" s="2"/>
      <c r="F3" s="3"/>
      <c r="G3" s="4" t="s">
        <v>3</v>
      </c>
      <c r="H3" s="5" t="s">
        <v>4</v>
      </c>
      <c r="I3" s="3"/>
      <c r="J3" s="3"/>
      <c r="K3" s="4" t="s">
        <v>5</v>
      </c>
      <c r="L3" s="6" t="s">
        <v>6</v>
      </c>
      <c r="M3" s="3"/>
      <c r="N3" s="3"/>
      <c r="O3" s="3"/>
      <c r="P3" s="3"/>
      <c r="Q3" s="3"/>
      <c r="R3" s="3"/>
    </row>
    <row r="4" customFormat="false" ht="19.5" hidden="false" customHeight="true" outlineLevel="0" collapsed="false">
      <c r="A4" s="1"/>
      <c r="B4" s="1"/>
      <c r="C4" s="7" t="s">
        <v>7</v>
      </c>
      <c r="D4" s="7"/>
      <c r="E4" s="7"/>
      <c r="F4" s="3"/>
      <c r="G4" s="4" t="s">
        <v>8</v>
      </c>
      <c r="H4" s="5" t="s">
        <v>9</v>
      </c>
      <c r="I4" s="3"/>
      <c r="J4" s="3"/>
      <c r="K4" s="4" t="s">
        <v>10</v>
      </c>
      <c r="L4" s="6" t="s">
        <v>11</v>
      </c>
      <c r="M4" s="3"/>
      <c r="N4" s="3"/>
      <c r="O4" s="3"/>
      <c r="P4" s="3"/>
      <c r="Q4" s="3"/>
      <c r="R4" s="3"/>
    </row>
    <row r="5" customFormat="false" ht="19.5" hidden="false" customHeight="true" outlineLevel="0" collapsed="false">
      <c r="A5" s="8"/>
      <c r="B5" s="8"/>
      <c r="C5" s="7"/>
      <c r="D5" s="7"/>
      <c r="E5" s="7"/>
      <c r="F5" s="9"/>
      <c r="G5" s="10" t="s">
        <v>12</v>
      </c>
      <c r="H5" s="11" t="s">
        <v>13</v>
      </c>
      <c r="I5" s="9"/>
      <c r="J5" s="9"/>
      <c r="K5" s="10" t="s">
        <v>14</v>
      </c>
      <c r="L5" s="12" t="s">
        <v>15</v>
      </c>
      <c r="M5" s="9"/>
      <c r="N5" s="9"/>
      <c r="O5" s="9"/>
      <c r="P5" s="9"/>
      <c r="Q5" s="9"/>
      <c r="R5" s="9"/>
    </row>
    <row r="7" customFormat="false" ht="15" hidden="false" customHeight="false" outlineLevel="0" collapsed="false">
      <c r="A7" s="119" t="s">
        <v>587</v>
      </c>
      <c r="B7" s="119"/>
      <c r="C7" s="119"/>
      <c r="D7" s="119"/>
      <c r="E7" s="119"/>
      <c r="F7" s="119"/>
      <c r="G7" s="119"/>
      <c r="H7" s="119"/>
      <c r="I7" s="119"/>
      <c r="J7" s="119"/>
    </row>
    <row r="8" customFormat="false" ht="15" hidden="false" customHeight="false" outlineLevel="0" collapsed="false">
      <c r="A8" s="58" t="s">
        <v>588</v>
      </c>
      <c r="B8" s="58" t="s">
        <v>100</v>
      </c>
      <c r="C8" s="58" t="s">
        <v>178</v>
      </c>
      <c r="D8" s="58" t="s">
        <v>179</v>
      </c>
      <c r="E8" s="58" t="s">
        <v>180</v>
      </c>
      <c r="F8" s="58" t="s">
        <v>181</v>
      </c>
      <c r="G8" s="58" t="s">
        <v>182</v>
      </c>
      <c r="H8" s="58" t="s">
        <v>183</v>
      </c>
      <c r="I8" s="58" t="s">
        <v>184</v>
      </c>
      <c r="J8" s="58" t="s">
        <v>185</v>
      </c>
    </row>
    <row r="9" customFormat="false" ht="15" hidden="false" customHeight="false" outlineLevel="0" collapsed="false">
      <c r="A9" s="18" t="s">
        <v>100</v>
      </c>
      <c r="B9" s="36" t="n">
        <v>-0.0100000000000002</v>
      </c>
      <c r="C9" s="36" t="n">
        <v>0.146</v>
      </c>
      <c r="D9" s="36" t="n">
        <v>-0.166</v>
      </c>
      <c r="E9" s="36" t="n">
        <v>-0.77</v>
      </c>
      <c r="F9" s="36" t="n">
        <v>-0.424</v>
      </c>
      <c r="G9" s="36" t="n">
        <v>-0.0100000000000002</v>
      </c>
      <c r="H9" s="36" t="n">
        <v>0.146</v>
      </c>
      <c r="I9" s="36" t="n">
        <v>-0.166</v>
      </c>
      <c r="J9" s="36" t="n">
        <v>-0.77</v>
      </c>
    </row>
    <row r="10" customFormat="false" ht="15" hidden="false" customHeight="false" outlineLevel="0" collapsed="false">
      <c r="A10" s="18" t="s">
        <v>178</v>
      </c>
      <c r="B10" s="36" t="n">
        <v>-0.094</v>
      </c>
      <c r="C10" s="36" t="n">
        <v>0.0620000000000002</v>
      </c>
      <c r="D10" s="36" t="n">
        <v>-0.25</v>
      </c>
      <c r="E10" s="36" t="n">
        <v>-0.854</v>
      </c>
      <c r="F10" s="36" t="n">
        <v>-0.508</v>
      </c>
      <c r="G10" s="36" t="n">
        <v>-0.094</v>
      </c>
      <c r="H10" s="36" t="n">
        <v>0.0620000000000002</v>
      </c>
      <c r="I10" s="36" t="n">
        <v>-0.25</v>
      </c>
      <c r="J10" s="36" t="n">
        <v>-0.854</v>
      </c>
    </row>
    <row r="11" customFormat="false" ht="15" hidden="false" customHeight="false" outlineLevel="0" collapsed="false">
      <c r="A11" s="18" t="s">
        <v>179</v>
      </c>
      <c r="B11" s="36" t="n">
        <v>0.13</v>
      </c>
      <c r="C11" s="36" t="n">
        <v>0.286</v>
      </c>
      <c r="D11" s="36" t="n">
        <v>-0.0259999999999998</v>
      </c>
      <c r="E11" s="36" t="n">
        <v>-0.629999999999999</v>
      </c>
      <c r="F11" s="36" t="n">
        <v>-0.284</v>
      </c>
      <c r="G11" s="36" t="n">
        <v>0.13</v>
      </c>
      <c r="H11" s="36" t="n">
        <v>0.286</v>
      </c>
      <c r="I11" s="36" t="n">
        <v>-0.0259999999999998</v>
      </c>
      <c r="J11" s="36" t="n">
        <v>-0.629999999999999</v>
      </c>
    </row>
    <row r="12" customFormat="false" ht="15" hidden="false" customHeight="false" outlineLevel="0" collapsed="false">
      <c r="A12" s="18" t="s">
        <v>180</v>
      </c>
      <c r="B12" s="36" t="n">
        <v>0.682</v>
      </c>
      <c r="C12" s="36" t="n">
        <v>0.838</v>
      </c>
      <c r="D12" s="36" t="n">
        <v>0.526</v>
      </c>
      <c r="E12" s="36" t="n">
        <v>-0.0779999999999997</v>
      </c>
      <c r="F12" s="36" t="n">
        <v>0.268</v>
      </c>
      <c r="G12" s="36" t="n">
        <v>0.682</v>
      </c>
      <c r="H12" s="36" t="n">
        <v>0.838</v>
      </c>
      <c r="I12" s="36" t="n">
        <v>0.526</v>
      </c>
      <c r="J12" s="36" t="n">
        <v>-0.0779999999999997</v>
      </c>
    </row>
    <row r="13" customFormat="false" ht="15" hidden="false" customHeight="false" outlineLevel="0" collapsed="false">
      <c r="A13" s="18" t="s">
        <v>181</v>
      </c>
      <c r="B13" s="36" t="n">
        <v>0.382</v>
      </c>
      <c r="C13" s="36" t="n">
        <v>0.538</v>
      </c>
      <c r="D13" s="36" t="n">
        <v>0.226</v>
      </c>
      <c r="E13" s="36" t="n">
        <v>-0.378</v>
      </c>
      <c r="F13" s="36" t="n">
        <v>-0.032</v>
      </c>
      <c r="G13" s="36" t="n">
        <v>0.382</v>
      </c>
      <c r="H13" s="36" t="n">
        <v>0.538</v>
      </c>
      <c r="I13" s="36" t="n">
        <v>0.226</v>
      </c>
      <c r="J13" s="36" t="n">
        <v>-0.378</v>
      </c>
    </row>
    <row r="14" customFormat="false" ht="15" hidden="false" customHeight="false" outlineLevel="0" collapsed="false">
      <c r="A14" s="18" t="s">
        <v>182</v>
      </c>
      <c r="B14" s="36" t="n">
        <v>-0.0100000000000002</v>
      </c>
      <c r="C14" s="36" t="n">
        <v>0.146</v>
      </c>
      <c r="D14" s="36" t="n">
        <v>-0.166</v>
      </c>
      <c r="E14" s="36" t="n">
        <v>-0.77</v>
      </c>
      <c r="F14" s="36" t="n">
        <v>-0.424</v>
      </c>
      <c r="G14" s="36" t="n">
        <v>-0.0100000000000002</v>
      </c>
      <c r="H14" s="36" t="n">
        <v>0.146</v>
      </c>
      <c r="I14" s="36" t="n">
        <v>-0.166</v>
      </c>
      <c r="J14" s="36" t="n">
        <v>-0.77</v>
      </c>
    </row>
    <row r="15" customFormat="false" ht="15" hidden="false" customHeight="false" outlineLevel="0" collapsed="false">
      <c r="A15" s="18" t="s">
        <v>183</v>
      </c>
      <c r="B15" s="36" t="n">
        <v>-0.094</v>
      </c>
      <c r="C15" s="36" t="n">
        <v>0.0620000000000002</v>
      </c>
      <c r="D15" s="36" t="n">
        <v>-0.25</v>
      </c>
      <c r="E15" s="36" t="n">
        <v>-0.854</v>
      </c>
      <c r="F15" s="36" t="n">
        <v>-0.508</v>
      </c>
      <c r="G15" s="36" t="n">
        <v>-0.094</v>
      </c>
      <c r="H15" s="36" t="n">
        <v>0.0620000000000002</v>
      </c>
      <c r="I15" s="36" t="n">
        <v>-0.25</v>
      </c>
      <c r="J15" s="36" t="n">
        <v>-0.854</v>
      </c>
    </row>
    <row r="16" customFormat="false" ht="15" hidden="false" customHeight="false" outlineLevel="0" collapsed="false">
      <c r="A16" s="18" t="s">
        <v>184</v>
      </c>
      <c r="B16" s="36" t="n">
        <v>0.13</v>
      </c>
      <c r="C16" s="36" t="n">
        <v>0.286</v>
      </c>
      <c r="D16" s="36" t="n">
        <v>-0.0259999999999998</v>
      </c>
      <c r="E16" s="36" t="n">
        <v>-0.629999999999999</v>
      </c>
      <c r="F16" s="36" t="n">
        <v>-0.284</v>
      </c>
      <c r="G16" s="36" t="n">
        <v>0.13</v>
      </c>
      <c r="H16" s="36" t="n">
        <v>0.286</v>
      </c>
      <c r="I16" s="36" t="n">
        <v>-0.0259999999999998</v>
      </c>
      <c r="J16" s="36" t="n">
        <v>-0.629999999999999</v>
      </c>
    </row>
    <row r="17" customFormat="false" ht="15" hidden="false" customHeight="false" outlineLevel="0" collapsed="false">
      <c r="A17" s="18" t="s">
        <v>185</v>
      </c>
      <c r="B17" s="36" t="n">
        <v>0.682</v>
      </c>
      <c r="C17" s="36" t="n">
        <v>0.838</v>
      </c>
      <c r="D17" s="36" t="n">
        <v>0.526</v>
      </c>
      <c r="E17" s="36" t="n">
        <v>-0.0779999999999997</v>
      </c>
      <c r="F17" s="36" t="n">
        <v>0.268</v>
      </c>
      <c r="G17" s="36" t="n">
        <v>0.682</v>
      </c>
      <c r="H17" s="36" t="n">
        <v>0.838</v>
      </c>
      <c r="I17" s="36" t="n">
        <v>0.526</v>
      </c>
      <c r="J17" s="36" t="n">
        <v>-0.0779999999999997</v>
      </c>
    </row>
    <row r="20" customFormat="false" ht="15" hidden="false" customHeight="false" outlineLevel="0" collapsed="false">
      <c r="A20" s="119" t="s">
        <v>589</v>
      </c>
      <c r="B20" s="119"/>
      <c r="C20" s="119"/>
      <c r="D20" s="119"/>
      <c r="E20" s="119"/>
      <c r="F20" s="119"/>
      <c r="G20" s="119"/>
      <c r="H20" s="119"/>
      <c r="I20" s="119"/>
      <c r="J20" s="119"/>
    </row>
    <row r="21" customFormat="false" ht="15" hidden="false" customHeight="false" outlineLevel="0" collapsed="false">
      <c r="A21" s="58" t="s">
        <v>588</v>
      </c>
      <c r="B21" s="58" t="s">
        <v>100</v>
      </c>
      <c r="C21" s="58" t="s">
        <v>178</v>
      </c>
      <c r="D21" s="58" t="s">
        <v>179</v>
      </c>
      <c r="E21" s="58" t="s">
        <v>180</v>
      </c>
      <c r="F21" s="58" t="s">
        <v>181</v>
      </c>
      <c r="G21" s="58" t="s">
        <v>182</v>
      </c>
      <c r="H21" s="58" t="s">
        <v>183</v>
      </c>
      <c r="I21" s="58" t="s">
        <v>184</v>
      </c>
      <c r="J21" s="58" t="s">
        <v>185</v>
      </c>
    </row>
    <row r="22" customFormat="false" ht="15" hidden="false" customHeight="false" outlineLevel="0" collapsed="false">
      <c r="A22" s="18" t="s">
        <v>100</v>
      </c>
      <c r="B22" s="36" t="n">
        <v>0.00999999999999979</v>
      </c>
      <c r="C22" s="36" t="n">
        <v>-0.146</v>
      </c>
      <c r="D22" s="36" t="n">
        <v>0.166</v>
      </c>
      <c r="E22" s="36" t="n">
        <v>0.770000000000001</v>
      </c>
      <c r="F22" s="36" t="n">
        <v>0.424</v>
      </c>
      <c r="G22" s="36" t="n">
        <v>0.00999999999999979</v>
      </c>
      <c r="H22" s="36" t="n">
        <v>-0.146</v>
      </c>
      <c r="I22" s="36" t="n">
        <v>0.166</v>
      </c>
      <c r="J22" s="36" t="n">
        <v>0.770000000000001</v>
      </c>
    </row>
    <row r="23" customFormat="false" ht="15" hidden="false" customHeight="false" outlineLevel="0" collapsed="false">
      <c r="A23" s="18" t="s">
        <v>178</v>
      </c>
      <c r="B23" s="36" t="n">
        <v>0.0939999999999994</v>
      </c>
      <c r="C23" s="36" t="n">
        <v>-0.0620000000000007</v>
      </c>
      <c r="D23" s="36" t="n">
        <v>0.249999999999999</v>
      </c>
      <c r="E23" s="36" t="n">
        <v>0.854</v>
      </c>
      <c r="F23" s="36" t="n">
        <v>0.508</v>
      </c>
      <c r="G23" s="36" t="n">
        <v>0.0939999999999994</v>
      </c>
      <c r="H23" s="36" t="n">
        <v>-0.0620000000000007</v>
      </c>
      <c r="I23" s="36" t="n">
        <v>0.249999999999999</v>
      </c>
      <c r="J23" s="36" t="n">
        <v>0.854</v>
      </c>
    </row>
    <row r="24" customFormat="false" ht="15" hidden="false" customHeight="false" outlineLevel="0" collapsed="false">
      <c r="A24" s="18" t="s">
        <v>179</v>
      </c>
      <c r="B24" s="36" t="n">
        <v>-0.130000000000001</v>
      </c>
      <c r="C24" s="36" t="n">
        <v>-0.286000000000001</v>
      </c>
      <c r="D24" s="36" t="n">
        <v>0.0259999999999989</v>
      </c>
      <c r="E24" s="36" t="n">
        <v>0.63</v>
      </c>
      <c r="F24" s="36" t="n">
        <v>0.284</v>
      </c>
      <c r="G24" s="36" t="n">
        <v>-0.130000000000001</v>
      </c>
      <c r="H24" s="36" t="n">
        <v>-0.286000000000001</v>
      </c>
      <c r="I24" s="36" t="n">
        <v>0.0259999999999989</v>
      </c>
      <c r="J24" s="36" t="n">
        <v>0.63</v>
      </c>
    </row>
    <row r="25" customFormat="false" ht="15" hidden="false" customHeight="false" outlineLevel="0" collapsed="false">
      <c r="A25" s="18" t="s">
        <v>180</v>
      </c>
      <c r="B25" s="36" t="n">
        <v>-0.682</v>
      </c>
      <c r="C25" s="36" t="n">
        <v>-0.838000000000001</v>
      </c>
      <c r="D25" s="36" t="n">
        <v>-0.526000000000001</v>
      </c>
      <c r="E25" s="36" t="n">
        <v>0.0780000000000003</v>
      </c>
      <c r="F25" s="36" t="n">
        <v>-0.268</v>
      </c>
      <c r="G25" s="36" t="n">
        <v>-0.682</v>
      </c>
      <c r="H25" s="36" t="n">
        <v>-0.838000000000001</v>
      </c>
      <c r="I25" s="36" t="n">
        <v>-0.526000000000001</v>
      </c>
      <c r="J25" s="36" t="n">
        <v>0.0780000000000003</v>
      </c>
    </row>
    <row r="26" customFormat="false" ht="15" hidden="false" customHeight="false" outlineLevel="0" collapsed="false">
      <c r="A26" s="18" t="s">
        <v>181</v>
      </c>
      <c r="B26" s="36" t="n">
        <v>-0.382000000000001</v>
      </c>
      <c r="C26" s="36" t="n">
        <v>-0.538000000000001</v>
      </c>
      <c r="D26" s="36" t="n">
        <v>-0.226000000000001</v>
      </c>
      <c r="E26" s="36" t="n">
        <v>0.378</v>
      </c>
      <c r="F26" s="36" t="n">
        <v>0.032</v>
      </c>
      <c r="G26" s="36" t="n">
        <v>-0.382000000000001</v>
      </c>
      <c r="H26" s="36" t="n">
        <v>-0.538000000000001</v>
      </c>
      <c r="I26" s="36" t="n">
        <v>-0.226000000000001</v>
      </c>
      <c r="J26" s="36" t="n">
        <v>0.378</v>
      </c>
    </row>
    <row r="27" customFormat="false" ht="15" hidden="false" customHeight="false" outlineLevel="0" collapsed="false">
      <c r="A27" s="18" t="s">
        <v>182</v>
      </c>
      <c r="B27" s="36" t="n">
        <v>0.00999999999999979</v>
      </c>
      <c r="C27" s="36" t="n">
        <v>-0.146</v>
      </c>
      <c r="D27" s="36" t="n">
        <v>0.166</v>
      </c>
      <c r="E27" s="36" t="n">
        <v>0.770000000000001</v>
      </c>
      <c r="F27" s="36" t="n">
        <v>0.424</v>
      </c>
      <c r="G27" s="36" t="n">
        <v>0.00999999999999979</v>
      </c>
      <c r="H27" s="36" t="n">
        <v>-0.146</v>
      </c>
      <c r="I27" s="36" t="n">
        <v>0.166</v>
      </c>
      <c r="J27" s="36" t="n">
        <v>0.770000000000001</v>
      </c>
    </row>
    <row r="28" customFormat="false" ht="15" hidden="false" customHeight="false" outlineLevel="0" collapsed="false">
      <c r="A28" s="18" t="s">
        <v>183</v>
      </c>
      <c r="B28" s="36" t="n">
        <v>0.0939999999999994</v>
      </c>
      <c r="C28" s="36" t="n">
        <v>-0.0620000000000007</v>
      </c>
      <c r="D28" s="36" t="n">
        <v>0.249999999999999</v>
      </c>
      <c r="E28" s="36" t="n">
        <v>0.854</v>
      </c>
      <c r="F28" s="36" t="n">
        <v>0.508</v>
      </c>
      <c r="G28" s="36" t="n">
        <v>0.0939999999999994</v>
      </c>
      <c r="H28" s="36" t="n">
        <v>-0.0620000000000007</v>
      </c>
      <c r="I28" s="36" t="n">
        <v>0.249999999999999</v>
      </c>
      <c r="J28" s="36" t="n">
        <v>0.854</v>
      </c>
    </row>
    <row r="29" customFormat="false" ht="15" hidden="false" customHeight="false" outlineLevel="0" collapsed="false">
      <c r="A29" s="18" t="s">
        <v>184</v>
      </c>
      <c r="B29" s="36" t="n">
        <v>-0.130000000000001</v>
      </c>
      <c r="C29" s="36" t="n">
        <v>-0.286000000000001</v>
      </c>
      <c r="D29" s="36" t="n">
        <v>0.0259999999999989</v>
      </c>
      <c r="E29" s="36" t="n">
        <v>0.63</v>
      </c>
      <c r="F29" s="36" t="n">
        <v>0.284</v>
      </c>
      <c r="G29" s="36" t="n">
        <v>-0.130000000000001</v>
      </c>
      <c r="H29" s="36" t="n">
        <v>-0.286000000000001</v>
      </c>
      <c r="I29" s="36" t="n">
        <v>0.0259999999999989</v>
      </c>
      <c r="J29" s="36" t="n">
        <v>0.63</v>
      </c>
    </row>
    <row r="30" customFormat="false" ht="15" hidden="false" customHeight="false" outlineLevel="0" collapsed="false">
      <c r="A30" s="18" t="s">
        <v>185</v>
      </c>
      <c r="B30" s="36" t="n">
        <v>-0.682</v>
      </c>
      <c r="C30" s="36" t="n">
        <v>-0.838000000000001</v>
      </c>
      <c r="D30" s="36" t="n">
        <v>-0.526000000000001</v>
      </c>
      <c r="E30" s="36" t="n">
        <v>0.0780000000000003</v>
      </c>
      <c r="F30" s="36" t="n">
        <v>-0.268</v>
      </c>
      <c r="G30" s="36" t="n">
        <v>-0.682</v>
      </c>
      <c r="H30" s="36" t="n">
        <v>-0.838000000000001</v>
      </c>
      <c r="I30" s="36" t="n">
        <v>-0.526000000000001</v>
      </c>
      <c r="J30" s="36" t="n">
        <v>0.0780000000000003</v>
      </c>
    </row>
    <row r="33" customFormat="false" ht="15" hidden="false" customHeight="false" outlineLevel="0" collapsed="false">
      <c r="A33" s="119" t="s">
        <v>590</v>
      </c>
      <c r="B33" s="119"/>
      <c r="C33" s="119"/>
      <c r="D33" s="119"/>
      <c r="E33" s="119"/>
      <c r="F33" s="119"/>
      <c r="G33" s="119"/>
      <c r="H33" s="119"/>
      <c r="I33" s="119"/>
      <c r="J33" s="119"/>
    </row>
    <row r="34" customFormat="false" ht="15" hidden="false" customHeight="false" outlineLevel="0" collapsed="false">
      <c r="A34" s="58" t="s">
        <v>588</v>
      </c>
      <c r="B34" s="58" t="s">
        <v>100</v>
      </c>
      <c r="C34" s="58" t="s">
        <v>178</v>
      </c>
      <c r="D34" s="58" t="s">
        <v>179</v>
      </c>
      <c r="E34" s="58" t="s">
        <v>180</v>
      </c>
      <c r="F34" s="58" t="s">
        <v>181</v>
      </c>
      <c r="G34" s="58" t="s">
        <v>182</v>
      </c>
      <c r="H34" s="58" t="s">
        <v>183</v>
      </c>
      <c r="I34" s="58" t="s">
        <v>184</v>
      </c>
      <c r="J34" s="58" t="s">
        <v>185</v>
      </c>
    </row>
    <row r="35" customFormat="false" ht="15" hidden="false" customHeight="false" outlineLevel="0" collapsed="false">
      <c r="A35" s="18" t="s">
        <v>100</v>
      </c>
      <c r="B35" s="36" t="n">
        <v>0.016</v>
      </c>
      <c r="C35" s="36" t="n">
        <v>0.0840000000000001</v>
      </c>
      <c r="D35" s="36" t="n">
        <v>-0.112</v>
      </c>
      <c r="E35" s="36" t="n">
        <v>-0.538</v>
      </c>
      <c r="F35" s="36" t="n">
        <v>-0.252</v>
      </c>
      <c r="G35" s="36" t="n">
        <v>0.016</v>
      </c>
      <c r="H35" s="36" t="n">
        <v>0.0840000000000001</v>
      </c>
      <c r="I35" s="36" t="n">
        <v>-0.112</v>
      </c>
      <c r="J35" s="36" t="n">
        <v>-0.538</v>
      </c>
    </row>
    <row r="36" customFormat="false" ht="15" hidden="false" customHeight="false" outlineLevel="0" collapsed="false">
      <c r="A36" s="18" t="s">
        <v>178</v>
      </c>
      <c r="B36" s="36" t="n">
        <v>-0.03</v>
      </c>
      <c r="C36" s="36" t="n">
        <v>0.038</v>
      </c>
      <c r="D36" s="36" t="n">
        <v>-0.158</v>
      </c>
      <c r="E36" s="36" t="n">
        <v>-0.584</v>
      </c>
      <c r="F36" s="36" t="n">
        <v>-0.298</v>
      </c>
      <c r="G36" s="36" t="n">
        <v>-0.03</v>
      </c>
      <c r="H36" s="36" t="n">
        <v>0.038</v>
      </c>
      <c r="I36" s="36" t="n">
        <v>-0.158</v>
      </c>
      <c r="J36" s="36" t="n">
        <v>-0.584</v>
      </c>
    </row>
    <row r="37" customFormat="false" ht="15" hidden="false" customHeight="false" outlineLevel="0" collapsed="false">
      <c r="A37" s="18" t="s">
        <v>179</v>
      </c>
      <c r="B37" s="36" t="n">
        <v>0.126</v>
      </c>
      <c r="C37" s="36" t="n">
        <v>0.194</v>
      </c>
      <c r="D37" s="36" t="n">
        <v>-0.00199999999999995</v>
      </c>
      <c r="E37" s="36" t="n">
        <v>-0.428</v>
      </c>
      <c r="F37" s="36" t="n">
        <v>-0.142</v>
      </c>
      <c r="G37" s="36" t="n">
        <v>0.126</v>
      </c>
      <c r="H37" s="36" t="n">
        <v>0.194</v>
      </c>
      <c r="I37" s="36" t="n">
        <v>-0.00199999999999995</v>
      </c>
      <c r="J37" s="36" t="n">
        <v>-0.428</v>
      </c>
    </row>
    <row r="38" customFormat="false" ht="15" hidden="false" customHeight="false" outlineLevel="0" collapsed="false">
      <c r="A38" s="18" t="s">
        <v>180</v>
      </c>
      <c r="B38" s="36" t="n">
        <v>0.49</v>
      </c>
      <c r="C38" s="36" t="n">
        <v>0.558</v>
      </c>
      <c r="D38" s="36" t="n">
        <v>0.362</v>
      </c>
      <c r="E38" s="36" t="n">
        <v>-0.0639999999999999</v>
      </c>
      <c r="F38" s="36" t="n">
        <v>0.222</v>
      </c>
      <c r="G38" s="36" t="n">
        <v>0.49</v>
      </c>
      <c r="H38" s="36" t="n">
        <v>0.558</v>
      </c>
      <c r="I38" s="36" t="n">
        <v>0.362</v>
      </c>
      <c r="J38" s="36" t="n">
        <v>-0.0639999999999999</v>
      </c>
    </row>
    <row r="39" customFormat="false" ht="15" hidden="false" customHeight="false" outlineLevel="0" collapsed="false">
      <c r="A39" s="18" t="s">
        <v>181</v>
      </c>
      <c r="B39" s="36" t="n">
        <v>0.252</v>
      </c>
      <c r="C39" s="36" t="n">
        <v>0.32</v>
      </c>
      <c r="D39" s="36" t="n">
        <v>0.124</v>
      </c>
      <c r="E39" s="36" t="n">
        <v>-0.302</v>
      </c>
      <c r="F39" s="36" t="n">
        <v>-0.016</v>
      </c>
      <c r="G39" s="36" t="n">
        <v>0.252</v>
      </c>
      <c r="H39" s="36" t="n">
        <v>0.32</v>
      </c>
      <c r="I39" s="36" t="n">
        <v>0.124</v>
      </c>
      <c r="J39" s="36" t="n">
        <v>-0.302</v>
      </c>
    </row>
    <row r="40" customFormat="false" ht="15" hidden="false" customHeight="false" outlineLevel="0" collapsed="false">
      <c r="A40" s="18" t="s">
        <v>182</v>
      </c>
      <c r="B40" s="36" t="n">
        <v>0.016</v>
      </c>
      <c r="C40" s="36" t="n">
        <v>0.0840000000000001</v>
      </c>
      <c r="D40" s="36" t="n">
        <v>-0.112</v>
      </c>
      <c r="E40" s="36" t="n">
        <v>-0.538</v>
      </c>
      <c r="F40" s="36" t="n">
        <v>-0.252</v>
      </c>
      <c r="G40" s="36" t="n">
        <v>0.016</v>
      </c>
      <c r="H40" s="36" t="n">
        <v>0.0840000000000001</v>
      </c>
      <c r="I40" s="36" t="n">
        <v>-0.112</v>
      </c>
      <c r="J40" s="36" t="n">
        <v>-0.538</v>
      </c>
    </row>
    <row r="41" customFormat="false" ht="15" hidden="false" customHeight="false" outlineLevel="0" collapsed="false">
      <c r="A41" s="18" t="s">
        <v>183</v>
      </c>
      <c r="B41" s="36" t="n">
        <v>-0.03</v>
      </c>
      <c r="C41" s="36" t="n">
        <v>0.038</v>
      </c>
      <c r="D41" s="36" t="n">
        <v>-0.158</v>
      </c>
      <c r="E41" s="36" t="n">
        <v>-0.584</v>
      </c>
      <c r="F41" s="36" t="n">
        <v>-0.298</v>
      </c>
      <c r="G41" s="36" t="n">
        <v>-0.03</v>
      </c>
      <c r="H41" s="36" t="n">
        <v>0.038</v>
      </c>
      <c r="I41" s="36" t="n">
        <v>-0.158</v>
      </c>
      <c r="J41" s="36" t="n">
        <v>-0.584</v>
      </c>
    </row>
    <row r="42" customFormat="false" ht="15" hidden="false" customHeight="false" outlineLevel="0" collapsed="false">
      <c r="A42" s="18" t="s">
        <v>184</v>
      </c>
      <c r="B42" s="36" t="n">
        <v>0.126</v>
      </c>
      <c r="C42" s="36" t="n">
        <v>0.194</v>
      </c>
      <c r="D42" s="36" t="n">
        <v>-0.00199999999999995</v>
      </c>
      <c r="E42" s="36" t="n">
        <v>-0.428</v>
      </c>
      <c r="F42" s="36" t="n">
        <v>-0.142</v>
      </c>
      <c r="G42" s="36" t="n">
        <v>0.126</v>
      </c>
      <c r="H42" s="36" t="n">
        <v>0.194</v>
      </c>
      <c r="I42" s="36" t="n">
        <v>-0.00199999999999995</v>
      </c>
      <c r="J42" s="36" t="n">
        <v>-0.428</v>
      </c>
    </row>
    <row r="43" customFormat="false" ht="15" hidden="false" customHeight="false" outlineLevel="0" collapsed="false">
      <c r="A43" s="18" t="s">
        <v>185</v>
      </c>
      <c r="B43" s="36" t="n">
        <v>0.49</v>
      </c>
      <c r="C43" s="36" t="n">
        <v>0.558</v>
      </c>
      <c r="D43" s="36" t="n">
        <v>0.362</v>
      </c>
      <c r="E43" s="36" t="n">
        <v>-0.0639999999999999</v>
      </c>
      <c r="F43" s="36" t="n">
        <v>0.222</v>
      </c>
      <c r="G43" s="36" t="n">
        <v>0.49</v>
      </c>
      <c r="H43" s="36" t="n">
        <v>0.558</v>
      </c>
      <c r="I43" s="36" t="n">
        <v>0.362</v>
      </c>
      <c r="J43" s="36" t="n">
        <v>-0.0639999999999999</v>
      </c>
    </row>
    <row r="46" customFormat="false" ht="15" hidden="false" customHeight="false" outlineLevel="0" collapsed="false">
      <c r="A46" s="119" t="s">
        <v>591</v>
      </c>
      <c r="B46" s="119"/>
      <c r="C46" s="119"/>
      <c r="D46" s="119"/>
      <c r="E46" s="119"/>
      <c r="F46" s="119"/>
      <c r="G46" s="119"/>
      <c r="H46" s="119"/>
      <c r="I46" s="119"/>
      <c r="J46" s="119"/>
      <c r="K46" s="119"/>
      <c r="L46" s="119"/>
      <c r="M46" s="119"/>
      <c r="N46" s="119"/>
      <c r="P46" s="119" t="s">
        <v>592</v>
      </c>
      <c r="Q46" s="119"/>
      <c r="R46" s="119"/>
      <c r="S46" s="119"/>
      <c r="T46" s="119"/>
    </row>
    <row r="48" customFormat="false" ht="15" hidden="false" customHeight="false" outlineLevel="0" collapsed="false">
      <c r="A48" s="58" t="s">
        <v>593</v>
      </c>
      <c r="B48" s="58" t="s">
        <v>594</v>
      </c>
      <c r="C48" s="58" t="s">
        <v>595</v>
      </c>
      <c r="D48" s="58" t="s">
        <v>596</v>
      </c>
      <c r="E48" s="58" t="s">
        <v>597</v>
      </c>
      <c r="F48" s="58" t="s">
        <v>598</v>
      </c>
      <c r="G48" s="58" t="s">
        <v>599</v>
      </c>
      <c r="H48" s="58" t="s">
        <v>600</v>
      </c>
      <c r="I48" s="58" t="s">
        <v>601</v>
      </c>
      <c r="J48" s="58" t="s">
        <v>602</v>
      </c>
      <c r="K48" s="58" t="s">
        <v>392</v>
      </c>
      <c r="L48" s="58" t="s">
        <v>393</v>
      </c>
      <c r="M48" s="58" t="s">
        <v>261</v>
      </c>
      <c r="N48" s="58" t="s">
        <v>394</v>
      </c>
      <c r="P48" s="98" t="s">
        <v>395</v>
      </c>
      <c r="Q48" s="98" t="s">
        <v>392</v>
      </c>
      <c r="R48" s="98" t="s">
        <v>393</v>
      </c>
      <c r="S48" s="98" t="s">
        <v>261</v>
      </c>
      <c r="T48" s="98" t="s">
        <v>394</v>
      </c>
    </row>
    <row r="49" customFormat="false" ht="15" hidden="false" customHeight="false" outlineLevel="0" collapsed="false">
      <c r="A49" s="18" t="s">
        <v>65</v>
      </c>
      <c r="B49" s="36" t="n">
        <v>30.4</v>
      </c>
      <c r="C49" s="36"/>
      <c r="D49" s="36"/>
      <c r="E49" s="36" t="n">
        <v>6.12</v>
      </c>
      <c r="F49" s="36" t="n">
        <v>4.59</v>
      </c>
      <c r="G49" s="36" t="n">
        <v>4.7</v>
      </c>
      <c r="H49" s="36"/>
      <c r="I49" s="36"/>
      <c r="J49" s="36" t="n">
        <v>25.62</v>
      </c>
      <c r="K49" s="36" t="n">
        <v>180.36</v>
      </c>
      <c r="L49" s="36" t="n">
        <v>22.25</v>
      </c>
      <c r="M49" s="36" t="n">
        <v>48.35</v>
      </c>
      <c r="N49" s="36" t="n">
        <v>17.94</v>
      </c>
      <c r="P49" s="18" t="s">
        <v>593</v>
      </c>
      <c r="Q49" s="36" t="n">
        <v>1005.31</v>
      </c>
      <c r="R49" s="36" t="n">
        <v>15.4663076923077</v>
      </c>
      <c r="S49" s="36" t="n">
        <v>21.5441784167753</v>
      </c>
      <c r="T49" s="36" t="n">
        <v>17.2327729695168</v>
      </c>
    </row>
    <row r="50" customFormat="false" ht="15" hidden="false" customHeight="false" outlineLevel="0" collapsed="false">
      <c r="A50" s="18" t="s">
        <v>71</v>
      </c>
      <c r="B50" s="36" t="n">
        <v>30.4</v>
      </c>
      <c r="C50" s="36"/>
      <c r="D50" s="36"/>
      <c r="E50" s="36" t="n">
        <v>6.12</v>
      </c>
      <c r="F50" s="36" t="n">
        <v>4.45</v>
      </c>
      <c r="G50" s="36" t="n">
        <v>15.96</v>
      </c>
      <c r="H50" s="36"/>
      <c r="I50" s="36"/>
      <c r="J50" s="36" t="n">
        <v>11.69</v>
      </c>
      <c r="K50" s="36" t="n">
        <v>172.33</v>
      </c>
      <c r="L50" s="36" t="n">
        <v>21.23</v>
      </c>
      <c r="M50" s="36" t="n">
        <v>46.07</v>
      </c>
      <c r="N50" s="36" t="n">
        <v>17.14</v>
      </c>
      <c r="P50" s="18" t="s">
        <v>603</v>
      </c>
      <c r="Q50" s="36" t="n">
        <v>1005.16</v>
      </c>
      <c r="R50" s="36" t="n">
        <v>15.464</v>
      </c>
      <c r="S50" s="36" t="n">
        <v>21.5333929485114</v>
      </c>
      <c r="T50" s="36" t="n">
        <v>17.2302017069755</v>
      </c>
    </row>
    <row r="51" customFormat="false" ht="15" hidden="false" customHeight="false" outlineLevel="0" collapsed="false">
      <c r="A51" s="18" t="s">
        <v>74</v>
      </c>
      <c r="B51" s="36" t="n">
        <v>30.4</v>
      </c>
      <c r="C51" s="36"/>
      <c r="D51" s="36"/>
      <c r="E51" s="36" t="n">
        <v>6.12</v>
      </c>
      <c r="F51" s="36"/>
      <c r="G51" s="36" t="n">
        <v>16.03</v>
      </c>
      <c r="H51" s="36"/>
      <c r="I51" s="36"/>
      <c r="J51" s="36" t="n">
        <v>25.65</v>
      </c>
      <c r="K51" s="36" t="n">
        <v>196.87</v>
      </c>
      <c r="L51" s="36" t="n">
        <v>24.27</v>
      </c>
      <c r="M51" s="36" t="n">
        <v>52.7</v>
      </c>
      <c r="N51" s="36" t="n">
        <v>19.58</v>
      </c>
      <c r="P51" s="18" t="s">
        <v>604</v>
      </c>
      <c r="Q51" s="36" t="n">
        <v>1005.22</v>
      </c>
      <c r="R51" s="36" t="n">
        <v>15.4649230769231</v>
      </c>
      <c r="S51" s="36" t="n">
        <v>21.5385808001506</v>
      </c>
      <c r="T51" s="36" t="n">
        <v>17.231230211992</v>
      </c>
    </row>
    <row r="52" customFormat="false" ht="15" hidden="false" customHeight="false" outlineLevel="0" collapsed="false">
      <c r="A52" s="18" t="s">
        <v>75</v>
      </c>
      <c r="B52" s="36" t="n">
        <v>30.4</v>
      </c>
      <c r="C52" s="36"/>
      <c r="D52" s="36"/>
      <c r="E52" s="36" t="n">
        <v>6.12</v>
      </c>
      <c r="F52" s="36" t="n">
        <v>4.59</v>
      </c>
      <c r="G52" s="36" t="n">
        <v>15.96</v>
      </c>
      <c r="H52" s="36"/>
      <c r="I52" s="36"/>
      <c r="J52" s="36" t="n">
        <v>37.34</v>
      </c>
      <c r="K52" s="36" t="n">
        <v>237.23</v>
      </c>
      <c r="L52" s="36" t="n">
        <v>29.23</v>
      </c>
      <c r="M52" s="36" t="n">
        <v>63.44</v>
      </c>
      <c r="N52" s="36" t="n">
        <v>23.6</v>
      </c>
      <c r="P52" s="18" t="s">
        <v>605</v>
      </c>
      <c r="Q52" s="36" t="n">
        <v>1005.25</v>
      </c>
      <c r="R52" s="36" t="n">
        <v>15.4653846153846</v>
      </c>
      <c r="S52" s="36" t="n">
        <v>21.5391042696855</v>
      </c>
      <c r="T52" s="36" t="n">
        <v>17.2317444645003</v>
      </c>
    </row>
    <row r="53" customFormat="false" ht="15" hidden="false" customHeight="false" outlineLevel="0" collapsed="false">
      <c r="A53" s="18" t="s">
        <v>70</v>
      </c>
      <c r="B53" s="36" t="n">
        <v>30.4</v>
      </c>
      <c r="C53" s="36"/>
      <c r="D53" s="36"/>
      <c r="E53" s="36" t="n">
        <v>6.12</v>
      </c>
      <c r="F53" s="36" t="n">
        <v>4.45</v>
      </c>
      <c r="G53" s="36" t="n">
        <v>20.73</v>
      </c>
      <c r="H53" s="36"/>
      <c r="I53" s="36"/>
      <c r="J53" s="36" t="n">
        <v>25.62</v>
      </c>
      <c r="K53" s="36" t="n">
        <v>218.52</v>
      </c>
      <c r="L53" s="36" t="n">
        <v>26.9</v>
      </c>
      <c r="M53" s="36" t="n">
        <v>58.32</v>
      </c>
      <c r="N53" s="36" t="n">
        <v>21.74</v>
      </c>
      <c r="P53" s="18" t="s">
        <v>606</v>
      </c>
      <c r="Q53" s="36" t="n">
        <v>1007.02</v>
      </c>
      <c r="R53" s="36" t="n">
        <v>15.4926153846154</v>
      </c>
      <c r="S53" s="36" t="n">
        <v>21.6654466603019</v>
      </c>
      <c r="T53" s="36" t="n">
        <v>17.262085362488</v>
      </c>
    </row>
    <row r="54" customFormat="false" ht="15" hidden="false" customHeight="false" outlineLevel="0" collapsed="false">
      <c r="A54" s="99" t="s">
        <v>392</v>
      </c>
      <c r="B54" s="99" t="n">
        <v>152</v>
      </c>
      <c r="C54" s="99" t="n">
        <v>0</v>
      </c>
      <c r="D54" s="99" t="n">
        <v>0</v>
      </c>
      <c r="E54" s="99" t="n">
        <v>30.6</v>
      </c>
      <c r="F54" s="99" t="n">
        <v>18.08</v>
      </c>
      <c r="G54" s="99" t="n">
        <v>73.38</v>
      </c>
      <c r="H54" s="99" t="n">
        <v>0</v>
      </c>
      <c r="I54" s="99" t="n">
        <v>0</v>
      </c>
      <c r="J54" s="99" t="n">
        <v>125.92</v>
      </c>
      <c r="K54" s="99" t="n">
        <v>1005.31</v>
      </c>
      <c r="L54" s="99" t="n">
        <v>123.9</v>
      </c>
      <c r="M54" s="99" t="n">
        <v>268.87</v>
      </c>
      <c r="N54" s="99" t="n">
        <v>100</v>
      </c>
      <c r="P54" s="18" t="s">
        <v>607</v>
      </c>
      <c r="Q54" s="36" t="n">
        <v>805.75</v>
      </c>
      <c r="R54" s="36" t="n">
        <v>12.3961538461539</v>
      </c>
      <c r="S54" s="36" t="n">
        <v>18.4244820731401</v>
      </c>
      <c r="T54" s="36" t="n">
        <v>13.8119652845273</v>
      </c>
    </row>
    <row r="55" customFormat="false" ht="15" hidden="false" customHeight="false" outlineLevel="0" collapsed="false">
      <c r="A55" s="99" t="s">
        <v>393</v>
      </c>
      <c r="B55" s="99" t="n">
        <v>30.4</v>
      </c>
      <c r="C55" s="99" t="n">
        <v>0</v>
      </c>
      <c r="D55" s="99" t="n">
        <v>0</v>
      </c>
      <c r="E55" s="99" t="n">
        <v>6.12</v>
      </c>
      <c r="F55" s="99" t="n">
        <v>3.62</v>
      </c>
      <c r="G55" s="99" t="n">
        <v>14.68</v>
      </c>
      <c r="H55" s="99" t="n">
        <v>0</v>
      </c>
      <c r="I55" s="99" t="n">
        <v>0</v>
      </c>
      <c r="J55" s="99" t="n">
        <v>25.18</v>
      </c>
      <c r="K55" s="99" t="n">
        <v>201.06</v>
      </c>
      <c r="L55" s="99" t="n">
        <v>24.78</v>
      </c>
      <c r="M55" s="99" t="n">
        <v>53.77</v>
      </c>
      <c r="N55" s="99" t="n">
        <v>20</v>
      </c>
    </row>
    <row r="56" customFormat="false" ht="15" hidden="false" customHeight="false" outlineLevel="0" collapsed="false">
      <c r="A56" s="99" t="s">
        <v>261</v>
      </c>
      <c r="B56" s="99" t="n">
        <v>0</v>
      </c>
      <c r="C56" s="99" t="n">
        <v>0</v>
      </c>
      <c r="D56" s="99" t="n">
        <v>0</v>
      </c>
      <c r="E56" s="99" t="n">
        <v>0</v>
      </c>
      <c r="F56" s="99" t="n">
        <v>2.02</v>
      </c>
      <c r="G56" s="99" t="n">
        <v>5.94</v>
      </c>
      <c r="H56" s="99" t="n">
        <v>0</v>
      </c>
      <c r="I56" s="99" t="n">
        <v>0</v>
      </c>
      <c r="J56" s="99" t="n">
        <v>9.09</v>
      </c>
      <c r="K56" s="99" t="n">
        <v>26.85</v>
      </c>
      <c r="L56" s="99" t="n">
        <v>3.3</v>
      </c>
      <c r="M56" s="99" t="n">
        <v>7.14</v>
      </c>
      <c r="N56" s="99" t="n">
        <v>2.67</v>
      </c>
    </row>
    <row r="57" customFormat="false" ht="15" hidden="false" customHeight="false" outlineLevel="0" collapsed="false">
      <c r="A57" s="99" t="s">
        <v>394</v>
      </c>
      <c r="B57" s="99" t="n">
        <v>15.12</v>
      </c>
      <c r="C57" s="99" t="n">
        <v>0</v>
      </c>
      <c r="D57" s="99" t="n">
        <v>0</v>
      </c>
      <c r="E57" s="99" t="n">
        <v>3.04</v>
      </c>
      <c r="F57" s="99" t="n">
        <v>1.8</v>
      </c>
      <c r="G57" s="99" t="n">
        <v>7.3</v>
      </c>
      <c r="H57" s="99" t="n">
        <v>0</v>
      </c>
      <c r="I57" s="99" t="n">
        <v>0</v>
      </c>
      <c r="J57" s="99" t="n">
        <v>12.53</v>
      </c>
      <c r="K57" s="99" t="n">
        <v>100</v>
      </c>
      <c r="L57" s="99" t="n">
        <v>12.32</v>
      </c>
      <c r="M57" s="99" t="n">
        <v>26.75</v>
      </c>
      <c r="N57" s="99" t="n">
        <v>100</v>
      </c>
    </row>
    <row r="60" customFormat="false" ht="15" hidden="false" customHeight="false" outlineLevel="0" collapsed="false">
      <c r="A60" s="119" t="s">
        <v>608</v>
      </c>
      <c r="B60" s="119"/>
      <c r="C60" s="119"/>
      <c r="D60" s="119"/>
      <c r="E60" s="119"/>
      <c r="F60" s="119"/>
      <c r="G60" s="119"/>
      <c r="H60" s="119"/>
      <c r="I60" s="119"/>
      <c r="J60" s="119"/>
      <c r="K60" s="119"/>
      <c r="L60" s="119"/>
      <c r="M60" s="119"/>
      <c r="N60" s="119"/>
    </row>
    <row r="62" customFormat="false" ht="15" hidden="false" customHeight="false" outlineLevel="0" collapsed="false">
      <c r="A62" s="58" t="s">
        <v>603</v>
      </c>
      <c r="B62" s="58" t="s">
        <v>609</v>
      </c>
      <c r="C62" s="58" t="s">
        <v>610</v>
      </c>
      <c r="D62" s="58" t="s">
        <v>611</v>
      </c>
      <c r="E62" s="58" t="s">
        <v>612</v>
      </c>
      <c r="F62" s="58" t="s">
        <v>613</v>
      </c>
      <c r="G62" s="58" t="s">
        <v>614</v>
      </c>
      <c r="H62" s="58" t="s">
        <v>615</v>
      </c>
      <c r="I62" s="58" t="s">
        <v>616</v>
      </c>
      <c r="J62" s="58" t="s">
        <v>617</v>
      </c>
      <c r="K62" s="58" t="s">
        <v>392</v>
      </c>
      <c r="L62" s="58" t="s">
        <v>393</v>
      </c>
      <c r="M62" s="58" t="s">
        <v>261</v>
      </c>
      <c r="N62" s="58" t="s">
        <v>394</v>
      </c>
    </row>
    <row r="63" customFormat="false" ht="15" hidden="false" customHeight="false" outlineLevel="0" collapsed="false">
      <c r="A63" s="18" t="s">
        <v>65</v>
      </c>
      <c r="B63" s="36" t="n">
        <v>30.4</v>
      </c>
      <c r="C63" s="36"/>
      <c r="D63" s="36"/>
      <c r="E63" s="36" t="n">
        <v>6.12</v>
      </c>
      <c r="F63" s="36" t="n">
        <v>4.7</v>
      </c>
      <c r="G63" s="36" t="n">
        <v>4.59</v>
      </c>
      <c r="H63" s="36"/>
      <c r="I63" s="36"/>
      <c r="J63" s="36" t="n">
        <v>25.62</v>
      </c>
      <c r="K63" s="36" t="n">
        <v>180.36</v>
      </c>
      <c r="L63" s="36" t="n">
        <v>22.25</v>
      </c>
      <c r="M63" s="36" t="n">
        <v>48.35</v>
      </c>
      <c r="N63" s="36" t="n">
        <v>17.94</v>
      </c>
    </row>
    <row r="64" customFormat="false" ht="15" hidden="false" customHeight="false" outlineLevel="0" collapsed="false">
      <c r="A64" s="18" t="s">
        <v>71</v>
      </c>
      <c r="B64" s="36" t="n">
        <v>30.4</v>
      </c>
      <c r="C64" s="36"/>
      <c r="D64" s="36"/>
      <c r="E64" s="36" t="n">
        <v>6.12</v>
      </c>
      <c r="F64" s="36" t="n">
        <v>4.7</v>
      </c>
      <c r="G64" s="36" t="n">
        <v>16.14</v>
      </c>
      <c r="H64" s="36"/>
      <c r="I64" s="36"/>
      <c r="J64" s="36" t="n">
        <v>11.26</v>
      </c>
      <c r="K64" s="36" t="n">
        <v>172.31</v>
      </c>
      <c r="L64" s="36" t="n">
        <v>21.23</v>
      </c>
      <c r="M64" s="36" t="n">
        <v>46.06</v>
      </c>
      <c r="N64" s="36" t="n">
        <v>17.14</v>
      </c>
    </row>
    <row r="65" customFormat="false" ht="15" hidden="false" customHeight="false" outlineLevel="0" collapsed="false">
      <c r="A65" s="18" t="s">
        <v>74</v>
      </c>
      <c r="B65" s="36" t="n">
        <v>30.4</v>
      </c>
      <c r="C65" s="36"/>
      <c r="D65" s="36"/>
      <c r="E65" s="36" t="n">
        <v>6.12</v>
      </c>
      <c r="F65" s="36"/>
      <c r="G65" s="36" t="n">
        <v>16.03</v>
      </c>
      <c r="H65" s="36"/>
      <c r="I65" s="36"/>
      <c r="J65" s="36" t="n">
        <v>25.65</v>
      </c>
      <c r="K65" s="36" t="n">
        <v>196.87</v>
      </c>
      <c r="L65" s="36" t="n">
        <v>24.27</v>
      </c>
      <c r="M65" s="36" t="n">
        <v>52.7</v>
      </c>
      <c r="N65" s="36" t="n">
        <v>19.59</v>
      </c>
    </row>
    <row r="66" customFormat="false" ht="15" hidden="false" customHeight="false" outlineLevel="0" collapsed="false">
      <c r="A66" s="18" t="s">
        <v>75</v>
      </c>
      <c r="B66" s="36" t="n">
        <v>30.4</v>
      </c>
      <c r="C66" s="36"/>
      <c r="D66" s="36"/>
      <c r="E66" s="36" t="n">
        <v>6.12</v>
      </c>
      <c r="F66" s="36" t="n">
        <v>4.7</v>
      </c>
      <c r="G66" s="36" t="n">
        <v>16.28</v>
      </c>
      <c r="H66" s="36"/>
      <c r="I66" s="36"/>
      <c r="J66" s="36" t="n">
        <v>36.91</v>
      </c>
      <c r="K66" s="36" t="n">
        <v>237.14</v>
      </c>
      <c r="L66" s="36" t="n">
        <v>29.22</v>
      </c>
      <c r="M66" s="36" t="n">
        <v>63.4</v>
      </c>
      <c r="N66" s="36" t="n">
        <v>23.59</v>
      </c>
    </row>
    <row r="67" customFormat="false" ht="15" hidden="false" customHeight="false" outlineLevel="0" collapsed="false">
      <c r="A67" s="18" t="s">
        <v>70</v>
      </c>
      <c r="B67" s="36" t="n">
        <v>30.4</v>
      </c>
      <c r="C67" s="36"/>
      <c r="D67" s="36"/>
      <c r="E67" s="36" t="n">
        <v>6.12</v>
      </c>
      <c r="F67" s="36" t="n">
        <v>4.7</v>
      </c>
      <c r="G67" s="36" t="n">
        <v>20.48</v>
      </c>
      <c r="H67" s="36"/>
      <c r="I67" s="36"/>
      <c r="J67" s="36" t="n">
        <v>25.62</v>
      </c>
      <c r="K67" s="36" t="n">
        <v>218.48</v>
      </c>
      <c r="L67" s="36" t="n">
        <v>26.9</v>
      </c>
      <c r="M67" s="36" t="n">
        <v>58.3</v>
      </c>
      <c r="N67" s="36" t="n">
        <v>21.74</v>
      </c>
    </row>
    <row r="68" customFormat="false" ht="15" hidden="false" customHeight="false" outlineLevel="0" collapsed="false">
      <c r="A68" s="99" t="s">
        <v>392</v>
      </c>
      <c r="B68" s="99" t="n">
        <v>152</v>
      </c>
      <c r="C68" s="99" t="n">
        <v>0</v>
      </c>
      <c r="D68" s="99" t="n">
        <v>0</v>
      </c>
      <c r="E68" s="99" t="n">
        <v>30.6</v>
      </c>
      <c r="F68" s="99" t="n">
        <v>18.8</v>
      </c>
      <c r="G68" s="99" t="n">
        <v>73.52</v>
      </c>
      <c r="H68" s="99" t="n">
        <v>0</v>
      </c>
      <c r="I68" s="99" t="n">
        <v>0</v>
      </c>
      <c r="J68" s="99" t="n">
        <v>125.06</v>
      </c>
      <c r="K68" s="99" t="n">
        <v>1005.16</v>
      </c>
      <c r="L68" s="99" t="n">
        <v>123.87</v>
      </c>
      <c r="M68" s="99" t="n">
        <v>268.81</v>
      </c>
      <c r="N68" s="99" t="n">
        <v>100</v>
      </c>
    </row>
    <row r="69" customFormat="false" ht="15" hidden="false" customHeight="false" outlineLevel="0" collapsed="false">
      <c r="A69" s="99" t="s">
        <v>393</v>
      </c>
      <c r="B69" s="99" t="n">
        <v>30.4</v>
      </c>
      <c r="C69" s="99" t="n">
        <v>0</v>
      </c>
      <c r="D69" s="99" t="n">
        <v>0</v>
      </c>
      <c r="E69" s="99" t="n">
        <v>6.12</v>
      </c>
      <c r="F69" s="99" t="n">
        <v>3.76</v>
      </c>
      <c r="G69" s="99" t="n">
        <v>14.7</v>
      </c>
      <c r="H69" s="99" t="n">
        <v>0</v>
      </c>
      <c r="I69" s="99" t="n">
        <v>0</v>
      </c>
      <c r="J69" s="99" t="n">
        <v>25.01</v>
      </c>
      <c r="K69" s="99" t="n">
        <v>201.03</v>
      </c>
      <c r="L69" s="99" t="n">
        <v>24.77</v>
      </c>
      <c r="M69" s="99" t="n">
        <v>53.76</v>
      </c>
      <c r="N69" s="99" t="n">
        <v>20</v>
      </c>
    </row>
    <row r="70" customFormat="false" ht="15" hidden="false" customHeight="false" outlineLevel="0" collapsed="false">
      <c r="A70" s="99" t="s">
        <v>261</v>
      </c>
      <c r="B70" s="99" t="n">
        <v>0</v>
      </c>
      <c r="C70" s="99" t="n">
        <v>0</v>
      </c>
      <c r="D70" s="99" t="n">
        <v>0</v>
      </c>
      <c r="E70" s="99" t="n">
        <v>0</v>
      </c>
      <c r="F70" s="99" t="n">
        <v>2.1</v>
      </c>
      <c r="G70" s="99" t="n">
        <v>5.96</v>
      </c>
      <c r="H70" s="99" t="n">
        <v>0</v>
      </c>
      <c r="I70" s="99" t="n">
        <v>0</v>
      </c>
      <c r="J70" s="99" t="n">
        <v>9.11</v>
      </c>
      <c r="K70" s="99" t="n">
        <v>26.82</v>
      </c>
      <c r="L70" s="99" t="n">
        <v>3.3</v>
      </c>
      <c r="M70" s="99" t="n">
        <v>7.13</v>
      </c>
      <c r="N70" s="99" t="n">
        <v>2.67</v>
      </c>
    </row>
    <row r="71" customFormat="false" ht="15" hidden="false" customHeight="false" outlineLevel="0" collapsed="false">
      <c r="A71" s="99" t="s">
        <v>394</v>
      </c>
      <c r="B71" s="99" t="n">
        <v>15.12</v>
      </c>
      <c r="C71" s="99" t="n">
        <v>0</v>
      </c>
      <c r="D71" s="99" t="n">
        <v>0</v>
      </c>
      <c r="E71" s="99" t="n">
        <v>3.04</v>
      </c>
      <c r="F71" s="99" t="n">
        <v>1.87</v>
      </c>
      <c r="G71" s="99" t="n">
        <v>7.31</v>
      </c>
      <c r="H71" s="99" t="n">
        <v>0</v>
      </c>
      <c r="I71" s="99" t="n">
        <v>0</v>
      </c>
      <c r="J71" s="99" t="n">
        <v>12.44</v>
      </c>
      <c r="K71" s="99" t="n">
        <v>100</v>
      </c>
      <c r="L71" s="99" t="n">
        <v>12.32</v>
      </c>
      <c r="M71" s="99" t="n">
        <v>26.74</v>
      </c>
      <c r="N71" s="99" t="n">
        <v>100</v>
      </c>
    </row>
    <row r="74" customFormat="false" ht="15" hidden="false" customHeight="false" outlineLevel="0" collapsed="false">
      <c r="A74" s="119" t="s">
        <v>618</v>
      </c>
      <c r="B74" s="119"/>
      <c r="C74" s="119"/>
      <c r="D74" s="119"/>
      <c r="E74" s="119"/>
      <c r="F74" s="119"/>
      <c r="G74" s="119"/>
      <c r="H74" s="119"/>
      <c r="I74" s="119"/>
      <c r="J74" s="119"/>
      <c r="K74" s="119"/>
      <c r="L74" s="119"/>
      <c r="M74" s="119"/>
      <c r="N74" s="119"/>
    </row>
    <row r="76" customFormat="false" ht="15" hidden="false" customHeight="false" outlineLevel="0" collapsed="false">
      <c r="A76" s="58" t="s">
        <v>604</v>
      </c>
      <c r="B76" s="58" t="s">
        <v>619</v>
      </c>
      <c r="C76" s="58" t="s">
        <v>620</v>
      </c>
      <c r="D76" s="58" t="s">
        <v>621</v>
      </c>
      <c r="E76" s="58" t="s">
        <v>622</v>
      </c>
      <c r="F76" s="58" t="s">
        <v>623</v>
      </c>
      <c r="G76" s="58" t="s">
        <v>624</v>
      </c>
      <c r="H76" s="58" t="s">
        <v>625</v>
      </c>
      <c r="I76" s="58" t="s">
        <v>626</v>
      </c>
      <c r="J76" s="58" t="s">
        <v>627</v>
      </c>
      <c r="K76" s="58" t="s">
        <v>392</v>
      </c>
      <c r="L76" s="58" t="s">
        <v>393</v>
      </c>
      <c r="M76" s="58" t="s">
        <v>261</v>
      </c>
      <c r="N76" s="58" t="s">
        <v>394</v>
      </c>
    </row>
    <row r="77" customFormat="false" ht="15" hidden="false" customHeight="false" outlineLevel="0" collapsed="false">
      <c r="A77" s="18" t="s">
        <v>65</v>
      </c>
      <c r="B77" s="36" t="n">
        <v>30.4</v>
      </c>
      <c r="C77" s="36"/>
      <c r="D77" s="36"/>
      <c r="E77" s="36" t="n">
        <v>6.12</v>
      </c>
      <c r="F77" s="36" t="n">
        <v>4.7</v>
      </c>
      <c r="G77" s="36" t="n">
        <v>4.59</v>
      </c>
      <c r="H77" s="36"/>
      <c r="I77" s="36"/>
      <c r="J77" s="36" t="n">
        <v>25.62</v>
      </c>
      <c r="K77" s="36" t="n">
        <v>180.36</v>
      </c>
      <c r="L77" s="36" t="n">
        <v>22.25</v>
      </c>
      <c r="M77" s="36" t="n">
        <v>48.35</v>
      </c>
      <c r="N77" s="36" t="n">
        <v>17.94</v>
      </c>
    </row>
    <row r="78" customFormat="false" ht="15" hidden="false" customHeight="false" outlineLevel="0" collapsed="false">
      <c r="A78" s="18" t="s">
        <v>71</v>
      </c>
      <c r="B78" s="36" t="n">
        <v>30.4</v>
      </c>
      <c r="C78" s="36"/>
      <c r="D78" s="36"/>
      <c r="E78" s="36" t="n">
        <v>6.12</v>
      </c>
      <c r="F78" s="36" t="n">
        <v>4.7</v>
      </c>
      <c r="G78" s="36" t="n">
        <v>15.71</v>
      </c>
      <c r="H78" s="36"/>
      <c r="I78" s="36"/>
      <c r="J78" s="36" t="n">
        <v>11.69</v>
      </c>
      <c r="K78" s="36" t="n">
        <v>172.29</v>
      </c>
      <c r="L78" s="36" t="n">
        <v>21.23</v>
      </c>
      <c r="M78" s="36" t="n">
        <v>46.05</v>
      </c>
      <c r="N78" s="36" t="n">
        <v>17.14</v>
      </c>
    </row>
    <row r="79" customFormat="false" ht="15" hidden="false" customHeight="false" outlineLevel="0" collapsed="false">
      <c r="A79" s="18" t="s">
        <v>74</v>
      </c>
      <c r="B79" s="36" t="n">
        <v>30.4</v>
      </c>
      <c r="C79" s="36"/>
      <c r="D79" s="36"/>
      <c r="E79" s="36" t="n">
        <v>6.12</v>
      </c>
      <c r="F79" s="36"/>
      <c r="G79" s="36" t="n">
        <v>16.03</v>
      </c>
      <c r="H79" s="36"/>
      <c r="I79" s="36"/>
      <c r="J79" s="36" t="n">
        <v>25.65</v>
      </c>
      <c r="K79" s="36" t="n">
        <v>196.87</v>
      </c>
      <c r="L79" s="36" t="n">
        <v>24.27</v>
      </c>
      <c r="M79" s="36" t="n">
        <v>52.7</v>
      </c>
      <c r="N79" s="36" t="n">
        <v>19.58</v>
      </c>
    </row>
    <row r="80" customFormat="false" ht="15" hidden="false" customHeight="false" outlineLevel="0" collapsed="false">
      <c r="A80" s="18" t="s">
        <v>75</v>
      </c>
      <c r="B80" s="36" t="n">
        <v>30.4</v>
      </c>
      <c r="C80" s="36"/>
      <c r="D80" s="36"/>
      <c r="E80" s="36" t="n">
        <v>6.12</v>
      </c>
      <c r="F80" s="36" t="n">
        <v>4.7</v>
      </c>
      <c r="G80" s="36" t="n">
        <v>15.85</v>
      </c>
      <c r="H80" s="36"/>
      <c r="I80" s="36"/>
      <c r="J80" s="36" t="n">
        <v>37.34</v>
      </c>
      <c r="K80" s="36" t="n">
        <v>237.22</v>
      </c>
      <c r="L80" s="36" t="n">
        <v>29.23</v>
      </c>
      <c r="M80" s="36" t="n">
        <v>63.43</v>
      </c>
      <c r="N80" s="36" t="n">
        <v>23.6</v>
      </c>
    </row>
    <row r="81" customFormat="false" ht="15" hidden="false" customHeight="false" outlineLevel="0" collapsed="false">
      <c r="A81" s="18" t="s">
        <v>70</v>
      </c>
      <c r="B81" s="36" t="n">
        <v>30.4</v>
      </c>
      <c r="C81" s="36"/>
      <c r="D81" s="36"/>
      <c r="E81" s="36" t="n">
        <v>6.12</v>
      </c>
      <c r="F81" s="36" t="n">
        <v>4.7</v>
      </c>
      <c r="G81" s="36" t="n">
        <v>20.48</v>
      </c>
      <c r="H81" s="36"/>
      <c r="I81" s="36"/>
      <c r="J81" s="36" t="n">
        <v>25.62</v>
      </c>
      <c r="K81" s="36" t="n">
        <v>218.48</v>
      </c>
      <c r="L81" s="36" t="n">
        <v>26.9</v>
      </c>
      <c r="M81" s="36" t="n">
        <v>58.3</v>
      </c>
      <c r="N81" s="36" t="n">
        <v>21.73</v>
      </c>
    </row>
    <row r="82" customFormat="false" ht="15" hidden="false" customHeight="false" outlineLevel="0" collapsed="false">
      <c r="A82" s="99" t="s">
        <v>392</v>
      </c>
      <c r="B82" s="99" t="n">
        <v>152</v>
      </c>
      <c r="C82" s="99" t="n">
        <v>0</v>
      </c>
      <c r="D82" s="99" t="n">
        <v>0</v>
      </c>
      <c r="E82" s="99" t="n">
        <v>30.6</v>
      </c>
      <c r="F82" s="99" t="n">
        <v>18.8</v>
      </c>
      <c r="G82" s="99" t="n">
        <v>72.66</v>
      </c>
      <c r="H82" s="99" t="n">
        <v>0</v>
      </c>
      <c r="I82" s="99" t="n">
        <v>0</v>
      </c>
      <c r="J82" s="99" t="n">
        <v>125.92</v>
      </c>
      <c r="K82" s="99" t="n">
        <v>1005.22</v>
      </c>
      <c r="L82" s="99" t="n">
        <v>123.88</v>
      </c>
      <c r="M82" s="99" t="n">
        <v>268.84</v>
      </c>
      <c r="N82" s="99" t="n">
        <v>100</v>
      </c>
    </row>
    <row r="83" customFormat="false" ht="15" hidden="false" customHeight="false" outlineLevel="0" collapsed="false">
      <c r="A83" s="99" t="s">
        <v>393</v>
      </c>
      <c r="B83" s="99" t="n">
        <v>30.4</v>
      </c>
      <c r="C83" s="99" t="n">
        <v>0</v>
      </c>
      <c r="D83" s="99" t="n">
        <v>0</v>
      </c>
      <c r="E83" s="99" t="n">
        <v>6.12</v>
      </c>
      <c r="F83" s="99" t="n">
        <v>3.76</v>
      </c>
      <c r="G83" s="99" t="n">
        <v>14.53</v>
      </c>
      <c r="H83" s="99" t="n">
        <v>0</v>
      </c>
      <c r="I83" s="99" t="n">
        <v>0</v>
      </c>
      <c r="J83" s="99" t="n">
        <v>25.18</v>
      </c>
      <c r="K83" s="99" t="n">
        <v>201.04</v>
      </c>
      <c r="L83" s="99" t="n">
        <v>24.78</v>
      </c>
      <c r="M83" s="99" t="n">
        <v>53.77</v>
      </c>
      <c r="N83" s="99" t="n">
        <v>20</v>
      </c>
    </row>
    <row r="84" customFormat="false" ht="15" hidden="false" customHeight="false" outlineLevel="0" collapsed="false">
      <c r="A84" s="99" t="s">
        <v>261</v>
      </c>
      <c r="B84" s="99" t="n">
        <v>0</v>
      </c>
      <c r="C84" s="99" t="n">
        <v>0</v>
      </c>
      <c r="D84" s="99" t="n">
        <v>0</v>
      </c>
      <c r="E84" s="99" t="n">
        <v>0</v>
      </c>
      <c r="F84" s="99" t="n">
        <v>2.1</v>
      </c>
      <c r="G84" s="99" t="n">
        <v>5.91</v>
      </c>
      <c r="H84" s="99" t="n">
        <v>0</v>
      </c>
      <c r="I84" s="99" t="n">
        <v>0</v>
      </c>
      <c r="J84" s="99" t="n">
        <v>9.09</v>
      </c>
      <c r="K84" s="99" t="n">
        <v>26.85</v>
      </c>
      <c r="L84" s="99" t="n">
        <v>3.3</v>
      </c>
      <c r="M84" s="99" t="n">
        <v>7.14</v>
      </c>
      <c r="N84" s="99" t="n">
        <v>2.67</v>
      </c>
    </row>
    <row r="85" customFormat="false" ht="15" hidden="false" customHeight="false" outlineLevel="0" collapsed="false">
      <c r="A85" s="99" t="s">
        <v>394</v>
      </c>
      <c r="B85" s="99" t="n">
        <v>15.12</v>
      </c>
      <c r="C85" s="99" t="n">
        <v>0</v>
      </c>
      <c r="D85" s="99" t="n">
        <v>0</v>
      </c>
      <c r="E85" s="99" t="n">
        <v>3.04</v>
      </c>
      <c r="F85" s="99" t="n">
        <v>1.87</v>
      </c>
      <c r="G85" s="99" t="n">
        <v>7.23</v>
      </c>
      <c r="H85" s="99" t="n">
        <v>0</v>
      </c>
      <c r="I85" s="99" t="n">
        <v>0</v>
      </c>
      <c r="J85" s="99" t="n">
        <v>12.53</v>
      </c>
      <c r="K85" s="99" t="n">
        <v>100</v>
      </c>
      <c r="L85" s="99" t="n">
        <v>12.32</v>
      </c>
      <c r="M85" s="99" t="n">
        <v>26.74</v>
      </c>
      <c r="N85" s="99" t="n">
        <v>100</v>
      </c>
    </row>
    <row r="88" customFormat="false" ht="15" hidden="false" customHeight="false" outlineLevel="0" collapsed="false">
      <c r="A88" s="119" t="s">
        <v>628</v>
      </c>
      <c r="B88" s="119"/>
      <c r="C88" s="119"/>
      <c r="D88" s="119"/>
      <c r="E88" s="119"/>
      <c r="F88" s="119"/>
      <c r="G88" s="119"/>
      <c r="H88" s="119"/>
      <c r="I88" s="119"/>
      <c r="J88" s="119"/>
      <c r="K88" s="119"/>
      <c r="L88" s="119"/>
      <c r="M88" s="119"/>
      <c r="N88" s="119"/>
    </row>
    <row r="90" customFormat="false" ht="15" hidden="false" customHeight="false" outlineLevel="0" collapsed="false">
      <c r="A90" s="58" t="s">
        <v>605</v>
      </c>
      <c r="B90" s="58" t="s">
        <v>629</v>
      </c>
      <c r="C90" s="58" t="s">
        <v>630</v>
      </c>
      <c r="D90" s="58" t="s">
        <v>631</v>
      </c>
      <c r="E90" s="58" t="s">
        <v>632</v>
      </c>
      <c r="F90" s="58" t="s">
        <v>633</v>
      </c>
      <c r="G90" s="58" t="s">
        <v>634</v>
      </c>
      <c r="H90" s="58" t="s">
        <v>635</v>
      </c>
      <c r="I90" s="58" t="s">
        <v>636</v>
      </c>
      <c r="J90" s="58" t="s">
        <v>637</v>
      </c>
      <c r="K90" s="58" t="s">
        <v>392</v>
      </c>
      <c r="L90" s="58" t="s">
        <v>393</v>
      </c>
      <c r="M90" s="58" t="s">
        <v>261</v>
      </c>
      <c r="N90" s="58" t="s">
        <v>394</v>
      </c>
    </row>
    <row r="91" customFormat="false" ht="15" hidden="false" customHeight="false" outlineLevel="0" collapsed="false">
      <c r="A91" s="18" t="s">
        <v>65</v>
      </c>
      <c r="B91" s="36" t="n">
        <v>30.4</v>
      </c>
      <c r="C91" s="36"/>
      <c r="D91" s="36"/>
      <c r="E91" s="36" t="n">
        <v>6.12</v>
      </c>
      <c r="F91" s="36" t="n">
        <v>4.59</v>
      </c>
      <c r="G91" s="36" t="n">
        <v>4.7</v>
      </c>
      <c r="H91" s="36"/>
      <c r="I91" s="36"/>
      <c r="J91" s="36" t="n">
        <v>25.62</v>
      </c>
      <c r="K91" s="36" t="n">
        <v>180.36</v>
      </c>
      <c r="L91" s="36" t="n">
        <v>22.25</v>
      </c>
      <c r="M91" s="36" t="n">
        <v>48.35</v>
      </c>
      <c r="N91" s="36" t="n">
        <v>17.94</v>
      </c>
    </row>
    <row r="92" customFormat="false" ht="15" hidden="false" customHeight="false" outlineLevel="0" collapsed="false">
      <c r="A92" s="18" t="s">
        <v>71</v>
      </c>
      <c r="B92" s="36" t="n">
        <v>30.4</v>
      </c>
      <c r="C92" s="36"/>
      <c r="D92" s="36"/>
      <c r="E92" s="36" t="n">
        <v>6.12</v>
      </c>
      <c r="F92" s="36" t="n">
        <v>4.45</v>
      </c>
      <c r="G92" s="36" t="n">
        <v>16.39</v>
      </c>
      <c r="H92" s="36"/>
      <c r="I92" s="36"/>
      <c r="J92" s="36" t="n">
        <v>11.26</v>
      </c>
      <c r="K92" s="36" t="n">
        <v>172.35</v>
      </c>
      <c r="L92" s="36" t="n">
        <v>21.24</v>
      </c>
      <c r="M92" s="36" t="n">
        <v>46.08</v>
      </c>
      <c r="N92" s="36" t="n">
        <v>17.14</v>
      </c>
    </row>
    <row r="93" customFormat="false" ht="15" hidden="false" customHeight="false" outlineLevel="0" collapsed="false">
      <c r="A93" s="18" t="s">
        <v>74</v>
      </c>
      <c r="B93" s="36" t="n">
        <v>30.4</v>
      </c>
      <c r="C93" s="36"/>
      <c r="D93" s="36"/>
      <c r="E93" s="36" t="n">
        <v>6.12</v>
      </c>
      <c r="F93" s="36"/>
      <c r="G93" s="36" t="n">
        <v>16.03</v>
      </c>
      <c r="H93" s="36"/>
      <c r="I93" s="36"/>
      <c r="J93" s="36" t="n">
        <v>25.65</v>
      </c>
      <c r="K93" s="36" t="n">
        <v>196.87</v>
      </c>
      <c r="L93" s="36" t="n">
        <v>24.27</v>
      </c>
      <c r="M93" s="36" t="n">
        <v>52.7</v>
      </c>
      <c r="N93" s="36" t="n">
        <v>19.58</v>
      </c>
    </row>
    <row r="94" customFormat="false" ht="15" hidden="false" customHeight="false" outlineLevel="0" collapsed="false">
      <c r="A94" s="18" t="s">
        <v>75</v>
      </c>
      <c r="B94" s="36" t="n">
        <v>30.4</v>
      </c>
      <c r="C94" s="36"/>
      <c r="D94" s="36"/>
      <c r="E94" s="36" t="n">
        <v>6.12</v>
      </c>
      <c r="F94" s="36" t="n">
        <v>4.59</v>
      </c>
      <c r="G94" s="36" t="n">
        <v>16.39</v>
      </c>
      <c r="H94" s="36"/>
      <c r="I94" s="36"/>
      <c r="J94" s="36" t="n">
        <v>36.91</v>
      </c>
      <c r="K94" s="36" t="n">
        <v>237.15</v>
      </c>
      <c r="L94" s="36" t="n">
        <v>29.22</v>
      </c>
      <c r="M94" s="36" t="n">
        <v>63.41</v>
      </c>
      <c r="N94" s="36" t="n">
        <v>23.59</v>
      </c>
    </row>
    <row r="95" customFormat="false" ht="15" hidden="false" customHeight="false" outlineLevel="0" collapsed="false">
      <c r="A95" s="18" t="s">
        <v>70</v>
      </c>
      <c r="B95" s="36" t="n">
        <v>30.4</v>
      </c>
      <c r="C95" s="36"/>
      <c r="D95" s="36"/>
      <c r="E95" s="36" t="n">
        <v>6.12</v>
      </c>
      <c r="F95" s="36" t="n">
        <v>4.45</v>
      </c>
      <c r="G95" s="36" t="n">
        <v>20.73</v>
      </c>
      <c r="H95" s="36"/>
      <c r="I95" s="36"/>
      <c r="J95" s="36" t="n">
        <v>25.62</v>
      </c>
      <c r="K95" s="36" t="n">
        <v>218.52</v>
      </c>
      <c r="L95" s="36" t="n">
        <v>26.9</v>
      </c>
      <c r="M95" s="36" t="n">
        <v>58.32</v>
      </c>
      <c r="N95" s="36" t="n">
        <v>21.74</v>
      </c>
    </row>
    <row r="96" customFormat="false" ht="15" hidden="false" customHeight="false" outlineLevel="0" collapsed="false">
      <c r="A96" s="99" t="s">
        <v>392</v>
      </c>
      <c r="B96" s="99" t="n">
        <v>152</v>
      </c>
      <c r="C96" s="99" t="n">
        <v>0</v>
      </c>
      <c r="D96" s="99" t="n">
        <v>0</v>
      </c>
      <c r="E96" s="99" t="n">
        <v>30.6</v>
      </c>
      <c r="F96" s="99" t="n">
        <v>18.08</v>
      </c>
      <c r="G96" s="99" t="n">
        <v>74.24</v>
      </c>
      <c r="H96" s="99" t="n">
        <v>0</v>
      </c>
      <c r="I96" s="99" t="n">
        <v>0</v>
      </c>
      <c r="J96" s="99" t="n">
        <v>125.06</v>
      </c>
      <c r="K96" s="99" t="n">
        <v>1005.25</v>
      </c>
      <c r="L96" s="99" t="n">
        <v>123.89</v>
      </c>
      <c r="M96" s="99" t="n">
        <v>268.85</v>
      </c>
      <c r="N96" s="99" t="n">
        <v>100</v>
      </c>
    </row>
    <row r="97" customFormat="false" ht="15" hidden="false" customHeight="false" outlineLevel="0" collapsed="false">
      <c r="A97" s="99" t="s">
        <v>393</v>
      </c>
      <c r="B97" s="99" t="n">
        <v>30.4</v>
      </c>
      <c r="C97" s="99" t="n">
        <v>0</v>
      </c>
      <c r="D97" s="99" t="n">
        <v>0</v>
      </c>
      <c r="E97" s="99" t="n">
        <v>6.12</v>
      </c>
      <c r="F97" s="99" t="n">
        <v>3.62</v>
      </c>
      <c r="G97" s="99" t="n">
        <v>14.85</v>
      </c>
      <c r="H97" s="99" t="n">
        <v>0</v>
      </c>
      <c r="I97" s="99" t="n">
        <v>0</v>
      </c>
      <c r="J97" s="99" t="n">
        <v>25.01</v>
      </c>
      <c r="K97" s="99" t="n">
        <v>201.05</v>
      </c>
      <c r="L97" s="99" t="n">
        <v>24.78</v>
      </c>
      <c r="M97" s="99" t="n">
        <v>53.77</v>
      </c>
      <c r="N97" s="99" t="n">
        <v>20</v>
      </c>
    </row>
    <row r="98" customFormat="false" ht="15" hidden="false" customHeight="false" outlineLevel="0" collapsed="false">
      <c r="A98" s="99" t="s">
        <v>261</v>
      </c>
      <c r="B98" s="99" t="n">
        <v>0</v>
      </c>
      <c r="C98" s="99" t="n">
        <v>0</v>
      </c>
      <c r="D98" s="99" t="n">
        <v>0</v>
      </c>
      <c r="E98" s="99" t="n">
        <v>0</v>
      </c>
      <c r="F98" s="99" t="n">
        <v>2.02</v>
      </c>
      <c r="G98" s="99" t="n">
        <v>5.99</v>
      </c>
      <c r="H98" s="99" t="n">
        <v>0</v>
      </c>
      <c r="I98" s="99" t="n">
        <v>0</v>
      </c>
      <c r="J98" s="99" t="n">
        <v>9.11</v>
      </c>
      <c r="K98" s="99" t="n">
        <v>26.82</v>
      </c>
      <c r="L98" s="99" t="n">
        <v>3.3</v>
      </c>
      <c r="M98" s="99" t="n">
        <v>7.13</v>
      </c>
      <c r="N98" s="99" t="n">
        <v>2.67</v>
      </c>
    </row>
    <row r="99" customFormat="false" ht="15" hidden="false" customHeight="false" outlineLevel="0" collapsed="false">
      <c r="A99" s="99" t="s">
        <v>394</v>
      </c>
      <c r="B99" s="99" t="n">
        <v>15.12</v>
      </c>
      <c r="C99" s="99" t="n">
        <v>0</v>
      </c>
      <c r="D99" s="99" t="n">
        <v>0</v>
      </c>
      <c r="E99" s="99" t="n">
        <v>3.04</v>
      </c>
      <c r="F99" s="99" t="n">
        <v>1.8</v>
      </c>
      <c r="G99" s="99" t="n">
        <v>7.39</v>
      </c>
      <c r="H99" s="99" t="n">
        <v>0</v>
      </c>
      <c r="I99" s="99" t="n">
        <v>0</v>
      </c>
      <c r="J99" s="99" t="n">
        <v>12.44</v>
      </c>
      <c r="K99" s="99" t="n">
        <v>100</v>
      </c>
      <c r="L99" s="99" t="n">
        <v>12.32</v>
      </c>
      <c r="M99" s="99" t="n">
        <v>26.74</v>
      </c>
      <c r="N99" s="99" t="n">
        <v>100</v>
      </c>
    </row>
    <row r="102" customFormat="false" ht="15" hidden="false" customHeight="false" outlineLevel="0" collapsed="false">
      <c r="A102" s="119" t="s">
        <v>638</v>
      </c>
      <c r="B102" s="119"/>
      <c r="C102" s="119"/>
      <c r="D102" s="119"/>
      <c r="E102" s="119"/>
      <c r="F102" s="119"/>
      <c r="G102" s="119"/>
      <c r="H102" s="119"/>
      <c r="I102" s="119"/>
      <c r="J102" s="119"/>
      <c r="K102" s="119"/>
      <c r="L102" s="119"/>
      <c r="M102" s="119"/>
      <c r="N102" s="119"/>
    </row>
    <row r="104" customFormat="false" ht="15" hidden="false" customHeight="false" outlineLevel="0" collapsed="false">
      <c r="A104" s="58" t="s">
        <v>606</v>
      </c>
      <c r="B104" s="58" t="s">
        <v>639</v>
      </c>
      <c r="C104" s="58" t="s">
        <v>640</v>
      </c>
      <c r="D104" s="58" t="s">
        <v>641</v>
      </c>
      <c r="E104" s="58" t="s">
        <v>642</v>
      </c>
      <c r="F104" s="58" t="s">
        <v>643</v>
      </c>
      <c r="G104" s="58" t="s">
        <v>644</v>
      </c>
      <c r="H104" s="58" t="s">
        <v>645</v>
      </c>
      <c r="I104" s="58" t="s">
        <v>646</v>
      </c>
      <c r="J104" s="58" t="s">
        <v>647</v>
      </c>
      <c r="K104" s="58" t="s">
        <v>392</v>
      </c>
      <c r="L104" s="58" t="s">
        <v>393</v>
      </c>
      <c r="M104" s="58" t="s">
        <v>261</v>
      </c>
      <c r="N104" s="58" t="s">
        <v>394</v>
      </c>
    </row>
    <row r="105" customFormat="false" ht="15" hidden="false" customHeight="false" outlineLevel="0" collapsed="false">
      <c r="A105" s="18" t="s">
        <v>65</v>
      </c>
      <c r="B105" s="36" t="n">
        <v>30.4</v>
      </c>
      <c r="C105" s="36"/>
      <c r="D105" s="36"/>
      <c r="E105" s="36"/>
      <c r="F105" s="36" t="n">
        <v>15.41</v>
      </c>
      <c r="G105" s="36"/>
      <c r="H105" s="36"/>
      <c r="I105" s="36"/>
      <c r="J105" s="36" t="n">
        <v>25.62</v>
      </c>
      <c r="K105" s="36" t="n">
        <v>181.17</v>
      </c>
      <c r="L105" s="36" t="n">
        <v>22.38</v>
      </c>
      <c r="M105" s="36" t="n">
        <v>48.69</v>
      </c>
      <c r="N105" s="36" t="n">
        <v>17.99</v>
      </c>
    </row>
    <row r="106" customFormat="false" ht="15" hidden="false" customHeight="false" outlineLevel="0" collapsed="false">
      <c r="A106" s="18" t="s">
        <v>71</v>
      </c>
      <c r="B106" s="36" t="n">
        <v>30.4</v>
      </c>
      <c r="C106" s="36"/>
      <c r="D106" s="36"/>
      <c r="E106" s="36"/>
      <c r="F106" s="36" t="n">
        <v>15.27</v>
      </c>
      <c r="G106" s="36" t="n">
        <v>11.26</v>
      </c>
      <c r="H106" s="36"/>
      <c r="I106" s="36" t="n">
        <v>11.69</v>
      </c>
      <c r="J106" s="36"/>
      <c r="K106" s="36" t="n">
        <v>172.61</v>
      </c>
      <c r="L106" s="36" t="n">
        <v>21.28</v>
      </c>
      <c r="M106" s="36" t="n">
        <v>46.18</v>
      </c>
      <c r="N106" s="36" t="n">
        <v>17.14</v>
      </c>
    </row>
    <row r="107" customFormat="false" ht="15" hidden="false" customHeight="false" outlineLevel="0" collapsed="false">
      <c r="A107" s="18" t="s">
        <v>74</v>
      </c>
      <c r="B107" s="36" t="n">
        <v>30.4</v>
      </c>
      <c r="C107" s="36"/>
      <c r="D107" s="36"/>
      <c r="E107" s="36"/>
      <c r="F107" s="36" t="n">
        <v>22.15</v>
      </c>
      <c r="G107" s="36"/>
      <c r="H107" s="36"/>
      <c r="I107" s="36"/>
      <c r="J107" s="36" t="n">
        <v>25.65</v>
      </c>
      <c r="K107" s="36" t="n">
        <v>197.84</v>
      </c>
      <c r="L107" s="36" t="n">
        <v>24.42</v>
      </c>
      <c r="M107" s="36" t="n">
        <v>53.09</v>
      </c>
      <c r="N107" s="36" t="n">
        <v>19.65</v>
      </c>
    </row>
    <row r="108" customFormat="false" ht="15" hidden="false" customHeight="false" outlineLevel="0" collapsed="false">
      <c r="A108" s="18" t="s">
        <v>75</v>
      </c>
      <c r="B108" s="36" t="n">
        <v>30.4</v>
      </c>
      <c r="C108" s="36"/>
      <c r="D108" s="36"/>
      <c r="E108" s="36"/>
      <c r="F108" s="36" t="n">
        <v>15.41</v>
      </c>
      <c r="G108" s="36" t="n">
        <v>11.26</v>
      </c>
      <c r="H108" s="36"/>
      <c r="I108" s="36" t="n">
        <v>11.69</v>
      </c>
      <c r="J108" s="36" t="n">
        <v>25.65</v>
      </c>
      <c r="K108" s="36" t="n">
        <v>234.6</v>
      </c>
      <c r="L108" s="36" t="n">
        <v>28.83</v>
      </c>
      <c r="M108" s="36" t="n">
        <v>62.42</v>
      </c>
      <c r="N108" s="36" t="n">
        <v>23.3</v>
      </c>
    </row>
    <row r="109" customFormat="false" ht="15" hidden="false" customHeight="false" outlineLevel="0" collapsed="false">
      <c r="A109" s="18" t="s">
        <v>70</v>
      </c>
      <c r="B109" s="36" t="n">
        <v>30.4</v>
      </c>
      <c r="C109" s="36"/>
      <c r="D109" s="36"/>
      <c r="E109" s="36"/>
      <c r="F109" s="36" t="n">
        <v>31.3</v>
      </c>
      <c r="G109" s="36"/>
      <c r="H109" s="36"/>
      <c r="I109" s="36"/>
      <c r="J109" s="36" t="n">
        <v>25.62</v>
      </c>
      <c r="K109" s="36" t="n">
        <v>220.8</v>
      </c>
      <c r="L109" s="36" t="n">
        <v>27.25</v>
      </c>
      <c r="M109" s="36" t="n">
        <v>59.24</v>
      </c>
      <c r="N109" s="36" t="n">
        <v>21.93</v>
      </c>
    </row>
    <row r="110" customFormat="false" ht="15" hidden="false" customHeight="false" outlineLevel="0" collapsed="false">
      <c r="A110" s="99" t="s">
        <v>392</v>
      </c>
      <c r="B110" s="99" t="n">
        <v>152</v>
      </c>
      <c r="C110" s="99" t="n">
        <v>0</v>
      </c>
      <c r="D110" s="99" t="n">
        <v>0</v>
      </c>
      <c r="E110" s="99" t="n">
        <v>0</v>
      </c>
      <c r="F110" s="99" t="n">
        <v>99.54</v>
      </c>
      <c r="G110" s="99" t="n">
        <v>22.52</v>
      </c>
      <c r="H110" s="99" t="n">
        <v>0</v>
      </c>
      <c r="I110" s="99" t="n">
        <v>23.38</v>
      </c>
      <c r="J110" s="99" t="n">
        <v>102.54</v>
      </c>
      <c r="K110" s="99" t="n">
        <v>1007.02</v>
      </c>
      <c r="L110" s="99" t="n">
        <v>124.16</v>
      </c>
      <c r="M110" s="99" t="n">
        <v>269.62</v>
      </c>
      <c r="N110" s="99" t="n">
        <v>100</v>
      </c>
    </row>
    <row r="111" customFormat="false" ht="15" hidden="false" customHeight="false" outlineLevel="0" collapsed="false">
      <c r="A111" s="99" t="s">
        <v>393</v>
      </c>
      <c r="B111" s="99" t="n">
        <v>30.4</v>
      </c>
      <c r="C111" s="99" t="n">
        <v>0</v>
      </c>
      <c r="D111" s="99" t="n">
        <v>0</v>
      </c>
      <c r="E111" s="99" t="n">
        <v>0</v>
      </c>
      <c r="F111" s="99" t="n">
        <v>19.91</v>
      </c>
      <c r="G111" s="99" t="n">
        <v>4.5</v>
      </c>
      <c r="H111" s="99" t="n">
        <v>0</v>
      </c>
      <c r="I111" s="99" t="n">
        <v>4.68</v>
      </c>
      <c r="J111" s="99" t="n">
        <v>20.51</v>
      </c>
      <c r="K111" s="99" t="n">
        <v>201.4</v>
      </c>
      <c r="L111" s="99" t="n">
        <v>24.83</v>
      </c>
      <c r="M111" s="99" t="n">
        <v>53.92</v>
      </c>
      <c r="N111" s="99" t="n">
        <v>20</v>
      </c>
    </row>
    <row r="112" customFormat="false" ht="15" hidden="false" customHeight="false" outlineLevel="0" collapsed="false">
      <c r="A112" s="99" t="s">
        <v>261</v>
      </c>
      <c r="B112" s="99" t="n">
        <v>0</v>
      </c>
      <c r="C112" s="99" t="n">
        <v>0</v>
      </c>
      <c r="D112" s="99" t="n">
        <v>0</v>
      </c>
      <c r="E112" s="99" t="n">
        <v>0</v>
      </c>
      <c r="F112" s="99" t="n">
        <v>7.01</v>
      </c>
      <c r="G112" s="99" t="n">
        <v>6.17</v>
      </c>
      <c r="H112" s="99" t="n">
        <v>0</v>
      </c>
      <c r="I112" s="99" t="n">
        <v>6.4</v>
      </c>
      <c r="J112" s="99" t="n">
        <v>11.46</v>
      </c>
      <c r="K112" s="99" t="n">
        <v>26.12</v>
      </c>
      <c r="L112" s="99" t="n">
        <v>3.19</v>
      </c>
      <c r="M112" s="99" t="n">
        <v>6.86</v>
      </c>
      <c r="N112" s="99" t="n">
        <v>2.59</v>
      </c>
    </row>
    <row r="113" customFormat="false" ht="15" hidden="false" customHeight="false" outlineLevel="0" collapsed="false">
      <c r="A113" s="99" t="s">
        <v>394</v>
      </c>
      <c r="B113" s="99" t="n">
        <v>15.09</v>
      </c>
      <c r="C113" s="99" t="n">
        <v>0</v>
      </c>
      <c r="D113" s="99" t="n">
        <v>0</v>
      </c>
      <c r="E113" s="99" t="n">
        <v>0</v>
      </c>
      <c r="F113" s="99" t="n">
        <v>9.88</v>
      </c>
      <c r="G113" s="99" t="n">
        <v>2.24</v>
      </c>
      <c r="H113" s="99" t="n">
        <v>0</v>
      </c>
      <c r="I113" s="99" t="n">
        <v>2.32</v>
      </c>
      <c r="J113" s="99" t="n">
        <v>10.18</v>
      </c>
      <c r="K113" s="99" t="n">
        <v>100</v>
      </c>
      <c r="L113" s="99" t="n">
        <v>12.33</v>
      </c>
      <c r="M113" s="99" t="n">
        <v>26.77</v>
      </c>
      <c r="N113" s="99" t="n">
        <v>100</v>
      </c>
    </row>
    <row r="116" customFormat="false" ht="15" hidden="false" customHeight="false" outlineLevel="0" collapsed="false">
      <c r="A116" s="119" t="s">
        <v>648</v>
      </c>
      <c r="B116" s="119"/>
      <c r="C116" s="119"/>
      <c r="D116" s="119"/>
      <c r="E116" s="119"/>
      <c r="F116" s="119"/>
      <c r="G116" s="119"/>
      <c r="H116" s="119"/>
      <c r="I116" s="119"/>
      <c r="J116" s="119"/>
      <c r="K116" s="119"/>
      <c r="L116" s="119"/>
      <c r="M116" s="119"/>
      <c r="N116" s="119"/>
    </row>
    <row r="118" customFormat="false" ht="15" hidden="false" customHeight="false" outlineLevel="0" collapsed="false">
      <c r="A118" s="58" t="s">
        <v>607</v>
      </c>
      <c r="B118" s="58" t="s">
        <v>649</v>
      </c>
      <c r="C118" s="58" t="s">
        <v>650</v>
      </c>
      <c r="D118" s="58" t="s">
        <v>651</v>
      </c>
      <c r="E118" s="58" t="s">
        <v>652</v>
      </c>
      <c r="F118" s="58" t="s">
        <v>653</v>
      </c>
      <c r="G118" s="58" t="s">
        <v>654</v>
      </c>
      <c r="H118" s="58" t="s">
        <v>655</v>
      </c>
      <c r="I118" s="58" t="s">
        <v>656</v>
      </c>
      <c r="J118" s="58" t="s">
        <v>657</v>
      </c>
      <c r="K118" s="58" t="s">
        <v>392</v>
      </c>
      <c r="L118" s="58" t="s">
        <v>393</v>
      </c>
      <c r="M118" s="58" t="s">
        <v>261</v>
      </c>
      <c r="N118" s="58" t="s">
        <v>394</v>
      </c>
    </row>
    <row r="119" customFormat="false" ht="15" hidden="false" customHeight="false" outlineLevel="0" collapsed="false">
      <c r="A119" s="18" t="s">
        <v>65</v>
      </c>
      <c r="B119" s="36" t="n">
        <v>6.12</v>
      </c>
      <c r="C119" s="36"/>
      <c r="D119" s="36"/>
      <c r="E119" s="36"/>
      <c r="F119" s="36"/>
      <c r="G119" s="36" t="n">
        <v>4.59</v>
      </c>
      <c r="H119" s="36"/>
      <c r="I119" s="36" t="n">
        <v>4.7</v>
      </c>
      <c r="J119" s="36" t="n">
        <v>25.62</v>
      </c>
      <c r="K119" s="36" t="n">
        <v>108.47</v>
      </c>
      <c r="L119" s="36" t="n">
        <v>13.53</v>
      </c>
      <c r="M119" s="36" t="n">
        <v>29.31</v>
      </c>
      <c r="N119" s="36" t="n">
        <v>13.46</v>
      </c>
    </row>
    <row r="120" customFormat="false" ht="15" hidden="false" customHeight="false" outlineLevel="0" collapsed="false">
      <c r="A120" s="18" t="s">
        <v>71</v>
      </c>
      <c r="B120" s="36" t="n">
        <v>36.52</v>
      </c>
      <c r="C120" s="36"/>
      <c r="D120" s="36"/>
      <c r="E120" s="36"/>
      <c r="F120" s="36"/>
      <c r="G120" s="36" t="n">
        <v>4.45</v>
      </c>
      <c r="H120" s="36"/>
      <c r="I120" s="36" t="n">
        <v>4.7</v>
      </c>
      <c r="J120" s="36" t="n">
        <v>22.95</v>
      </c>
      <c r="K120" s="36" t="n">
        <v>180.66</v>
      </c>
      <c r="L120" s="36" t="n">
        <v>22.52</v>
      </c>
      <c r="M120" s="36" t="n">
        <v>48.7</v>
      </c>
      <c r="N120" s="36" t="n">
        <v>22.42</v>
      </c>
    </row>
    <row r="121" customFormat="false" ht="15" hidden="false" customHeight="false" outlineLevel="0" collapsed="false">
      <c r="A121" s="18" t="s">
        <v>74</v>
      </c>
      <c r="B121" s="36" t="n">
        <v>30.4</v>
      </c>
      <c r="C121" s="36"/>
      <c r="D121" s="36"/>
      <c r="E121" s="36"/>
      <c r="F121" s="36"/>
      <c r="G121" s="36"/>
      <c r="H121" s="36"/>
      <c r="I121" s="36"/>
      <c r="J121" s="36" t="n">
        <v>41.68</v>
      </c>
      <c r="K121" s="36" t="n">
        <v>192.13</v>
      </c>
      <c r="L121" s="36" t="n">
        <v>24.01</v>
      </c>
      <c r="M121" s="36" t="n">
        <v>52.2</v>
      </c>
      <c r="N121" s="36" t="n">
        <v>23.84</v>
      </c>
    </row>
    <row r="122" customFormat="false" ht="15" hidden="false" customHeight="false" outlineLevel="0" collapsed="false">
      <c r="A122" s="18" t="s">
        <v>75</v>
      </c>
      <c r="B122" s="36" t="n">
        <v>6.12</v>
      </c>
      <c r="C122" s="36"/>
      <c r="D122" s="36"/>
      <c r="E122" s="36"/>
      <c r="F122" s="36"/>
      <c r="G122" s="36" t="n">
        <v>4.59</v>
      </c>
      <c r="H122" s="36"/>
      <c r="I122" s="36" t="n">
        <v>4.7</v>
      </c>
      <c r="J122" s="36" t="n">
        <v>48.6</v>
      </c>
      <c r="K122" s="36" t="n">
        <v>172.04</v>
      </c>
      <c r="L122" s="36" t="n">
        <v>21.54</v>
      </c>
      <c r="M122" s="36" t="n">
        <v>47.02</v>
      </c>
      <c r="N122" s="36" t="n">
        <v>21.35</v>
      </c>
    </row>
    <row r="123" customFormat="false" ht="15" hidden="false" customHeight="false" outlineLevel="0" collapsed="false">
      <c r="A123" s="18" t="s">
        <v>70</v>
      </c>
      <c r="B123" s="36" t="n">
        <v>6.12</v>
      </c>
      <c r="C123" s="36"/>
      <c r="D123" s="36"/>
      <c r="E123" s="36"/>
      <c r="F123" s="36"/>
      <c r="G123" s="36" t="n">
        <v>4.45</v>
      </c>
      <c r="H123" s="36"/>
      <c r="I123" s="36" t="n">
        <v>4.7</v>
      </c>
      <c r="J123" s="36" t="n">
        <v>41.65</v>
      </c>
      <c r="K123" s="36" t="n">
        <v>152.45</v>
      </c>
      <c r="L123" s="36" t="n">
        <v>19.08</v>
      </c>
      <c r="M123" s="36" t="n">
        <v>41.56</v>
      </c>
      <c r="N123" s="36" t="n">
        <v>18.92</v>
      </c>
    </row>
    <row r="124" customFormat="false" ht="15" hidden="false" customHeight="false" outlineLevel="0" collapsed="false">
      <c r="A124" s="99" t="s">
        <v>392</v>
      </c>
      <c r="B124" s="99" t="n">
        <v>85.28</v>
      </c>
      <c r="C124" s="99" t="n">
        <v>0</v>
      </c>
      <c r="D124" s="99" t="n">
        <v>0</v>
      </c>
      <c r="E124" s="99" t="n">
        <v>0</v>
      </c>
      <c r="F124" s="99" t="n">
        <v>0</v>
      </c>
      <c r="G124" s="99" t="n">
        <v>18.08</v>
      </c>
      <c r="H124" s="99" t="n">
        <v>0</v>
      </c>
      <c r="I124" s="99" t="n">
        <v>18.8</v>
      </c>
      <c r="J124" s="99" t="n">
        <v>180.5</v>
      </c>
      <c r="K124" s="99" t="n">
        <v>805.75</v>
      </c>
      <c r="L124" s="99" t="n">
        <v>100.68</v>
      </c>
      <c r="M124" s="99" t="n">
        <v>218.78</v>
      </c>
      <c r="N124" s="99" t="n">
        <v>100</v>
      </c>
    </row>
    <row r="125" customFormat="false" ht="15" hidden="false" customHeight="false" outlineLevel="0" collapsed="false">
      <c r="A125" s="99" t="s">
        <v>393</v>
      </c>
      <c r="B125" s="99" t="n">
        <v>17.06</v>
      </c>
      <c r="C125" s="99" t="n">
        <v>0</v>
      </c>
      <c r="D125" s="99" t="n">
        <v>0</v>
      </c>
      <c r="E125" s="99" t="n">
        <v>0</v>
      </c>
      <c r="F125" s="99" t="n">
        <v>0</v>
      </c>
      <c r="G125" s="99" t="n">
        <v>3.62</v>
      </c>
      <c r="H125" s="99" t="n">
        <v>0</v>
      </c>
      <c r="I125" s="99" t="n">
        <v>3.76</v>
      </c>
      <c r="J125" s="99" t="n">
        <v>36.1</v>
      </c>
      <c r="K125" s="99" t="n">
        <v>161.15</v>
      </c>
      <c r="L125" s="99" t="n">
        <v>20.14</v>
      </c>
      <c r="M125" s="99" t="n">
        <v>43.76</v>
      </c>
      <c r="N125" s="99" t="n">
        <v>20</v>
      </c>
    </row>
    <row r="126" customFormat="false" ht="15" hidden="false" customHeight="false" outlineLevel="0" collapsed="false">
      <c r="A126" s="99" t="s">
        <v>261</v>
      </c>
      <c r="B126" s="99" t="n">
        <v>15.13</v>
      </c>
      <c r="C126" s="99" t="n">
        <v>0</v>
      </c>
      <c r="D126" s="99" t="n">
        <v>0</v>
      </c>
      <c r="E126" s="99" t="n">
        <v>0</v>
      </c>
      <c r="F126" s="99" t="n">
        <v>0</v>
      </c>
      <c r="G126" s="99" t="n">
        <v>2.02</v>
      </c>
      <c r="H126" s="99" t="n">
        <v>0</v>
      </c>
      <c r="I126" s="99" t="n">
        <v>2.1</v>
      </c>
      <c r="J126" s="99" t="n">
        <v>11.19</v>
      </c>
      <c r="K126" s="99" t="n">
        <v>32.82</v>
      </c>
      <c r="L126" s="99" t="n">
        <v>4.11</v>
      </c>
      <c r="M126" s="99" t="n">
        <v>8.94</v>
      </c>
      <c r="N126" s="99" t="n">
        <v>4.07</v>
      </c>
    </row>
    <row r="127" customFormat="false" ht="15" hidden="false" customHeight="false" outlineLevel="0" collapsed="false">
      <c r="A127" s="99" t="s">
        <v>394</v>
      </c>
      <c r="B127" s="99" t="n">
        <v>10.58</v>
      </c>
      <c r="C127" s="99" t="n">
        <v>0</v>
      </c>
      <c r="D127" s="99" t="n">
        <v>0</v>
      </c>
      <c r="E127" s="99" t="n">
        <v>0</v>
      </c>
      <c r="F127" s="99" t="n">
        <v>0</v>
      </c>
      <c r="G127" s="99" t="n">
        <v>2.24</v>
      </c>
      <c r="H127" s="99" t="n">
        <v>0</v>
      </c>
      <c r="I127" s="99" t="n">
        <v>2.33</v>
      </c>
      <c r="J127" s="99" t="n">
        <v>22.4</v>
      </c>
      <c r="K127" s="99" t="n">
        <v>100</v>
      </c>
      <c r="L127" s="99" t="n">
        <v>12.5</v>
      </c>
      <c r="M127" s="99" t="n">
        <v>27.15</v>
      </c>
      <c r="N127" s="99" t="n">
        <v>100</v>
      </c>
    </row>
  </sheetData>
  <mergeCells count="12">
    <mergeCell ref="C1:E3"/>
    <mergeCell ref="C4:E5"/>
    <mergeCell ref="A7:J7"/>
    <mergeCell ref="A20:J20"/>
    <mergeCell ref="A33:J33"/>
    <mergeCell ref="A46:N46"/>
    <mergeCell ref="P46:T46"/>
    <mergeCell ref="A60:N60"/>
    <mergeCell ref="A74:N74"/>
    <mergeCell ref="A88:N88"/>
    <mergeCell ref="A102:N102"/>
    <mergeCell ref="A116:N11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3"/>
  <sheetViews>
    <sheetView showFormulas="false" showGridLines="true" showRowColHeaders="true" showZeros="true" rightToLeft="false" tabSelected="false" showOutlineSymbols="true" defaultGridColor="true" view="normal" topLeftCell="A1" colorId="64" zoomScale="197" zoomScaleNormal="197" zoomScalePageLayoutView="100" workbookViewId="0">
      <selection pane="topLeft" activeCell="A1" activeCellId="0" sqref="A1"/>
    </sheetView>
  </sheetViews>
  <sheetFormatPr defaultColWidth="8.60546875" defaultRowHeight="15" customHeight="false" zeroHeight="false" outlineLevelRow="0" outlineLevelCol="0"/>
  <sheetData>
    <row r="1" customFormat="false" ht="19.5" hidden="false" customHeight="true" outlineLevel="0" collapsed="false">
      <c r="A1" s="1"/>
      <c r="B1" s="1"/>
      <c r="C1" s="2" t="s">
        <v>658</v>
      </c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customFormat="false" ht="19.5" hidden="false" customHeight="true" outlineLevel="0" collapsed="false">
      <c r="A2" s="1"/>
      <c r="B2" s="1"/>
      <c r="C2" s="2"/>
      <c r="D2" s="2"/>
      <c r="E2" s="2"/>
      <c r="F2" s="3"/>
      <c r="G2" s="4" t="s">
        <v>1</v>
      </c>
      <c r="H2" s="5" t="s">
        <v>2</v>
      </c>
      <c r="I2" s="3"/>
      <c r="J2" s="3"/>
      <c r="K2" s="3"/>
      <c r="L2" s="3"/>
      <c r="M2" s="3"/>
      <c r="N2" s="3"/>
      <c r="O2" s="3"/>
      <c r="P2" s="3"/>
      <c r="Q2" s="3"/>
      <c r="R2" s="3"/>
    </row>
    <row r="3" customFormat="false" ht="19.5" hidden="false" customHeight="true" outlineLevel="0" collapsed="false">
      <c r="A3" s="1"/>
      <c r="B3" s="1"/>
      <c r="C3" s="2"/>
      <c r="D3" s="2"/>
      <c r="E3" s="2"/>
      <c r="F3" s="3"/>
      <c r="G3" s="4" t="s">
        <v>3</v>
      </c>
      <c r="H3" s="5" t="s">
        <v>4</v>
      </c>
      <c r="I3" s="3"/>
      <c r="J3" s="3"/>
      <c r="K3" s="4" t="s">
        <v>5</v>
      </c>
      <c r="L3" s="6" t="s">
        <v>6</v>
      </c>
      <c r="M3" s="3"/>
      <c r="N3" s="3"/>
      <c r="O3" s="3"/>
      <c r="P3" s="3"/>
      <c r="Q3" s="3"/>
      <c r="R3" s="3"/>
    </row>
    <row r="4" customFormat="false" ht="19.5" hidden="false" customHeight="true" outlineLevel="0" collapsed="false">
      <c r="A4" s="1"/>
      <c r="B4" s="1"/>
      <c r="C4" s="7" t="s">
        <v>7</v>
      </c>
      <c r="D4" s="7"/>
      <c r="E4" s="7"/>
      <c r="F4" s="3"/>
      <c r="G4" s="4" t="s">
        <v>8</v>
      </c>
      <c r="H4" s="5" t="s">
        <v>9</v>
      </c>
      <c r="I4" s="3"/>
      <c r="J4" s="3"/>
      <c r="K4" s="4" t="s">
        <v>10</v>
      </c>
      <c r="L4" s="6" t="s">
        <v>11</v>
      </c>
      <c r="M4" s="3"/>
      <c r="N4" s="3"/>
      <c r="O4" s="3"/>
      <c r="P4" s="3"/>
      <c r="Q4" s="3"/>
      <c r="R4" s="3"/>
    </row>
    <row r="5" customFormat="false" ht="19.5" hidden="false" customHeight="true" outlineLevel="0" collapsed="false">
      <c r="A5" s="8"/>
      <c r="B5" s="8"/>
      <c r="C5" s="7"/>
      <c r="D5" s="7"/>
      <c r="E5" s="7"/>
      <c r="F5" s="9"/>
      <c r="G5" s="10" t="s">
        <v>12</v>
      </c>
      <c r="H5" s="11" t="s">
        <v>13</v>
      </c>
      <c r="I5" s="9"/>
      <c r="J5" s="9"/>
      <c r="K5" s="10" t="s">
        <v>14</v>
      </c>
      <c r="L5" s="12" t="s">
        <v>15</v>
      </c>
      <c r="M5" s="9"/>
      <c r="N5" s="9"/>
      <c r="O5" s="9"/>
      <c r="P5" s="9"/>
      <c r="Q5" s="9"/>
      <c r="R5" s="9"/>
    </row>
    <row r="8" customFormat="false" ht="15" hidden="false" customHeight="false" outlineLevel="0" collapsed="false">
      <c r="A8" s="119" t="s">
        <v>659</v>
      </c>
      <c r="B8" s="119"/>
      <c r="C8" s="119"/>
      <c r="D8" s="119"/>
      <c r="E8" s="119"/>
    </row>
    <row r="9" customFormat="false" ht="15" hidden="false" customHeight="false" outlineLevel="0" collapsed="false">
      <c r="A9" s="58" t="s">
        <v>660</v>
      </c>
      <c r="B9" s="58" t="s">
        <v>661</v>
      </c>
      <c r="C9" s="58" t="s">
        <v>662</v>
      </c>
      <c r="D9" s="58" t="s">
        <v>663</v>
      </c>
    </row>
    <row r="10" customFormat="false" ht="15" hidden="false" customHeight="false" outlineLevel="0" collapsed="false">
      <c r="A10" s="58" t="s">
        <v>664</v>
      </c>
      <c r="B10" s="120" t="s">
        <v>133</v>
      </c>
      <c r="C10" s="121" t="n">
        <v>0</v>
      </c>
      <c r="D10" s="120" t="n">
        <v>0</v>
      </c>
    </row>
    <row r="11" customFormat="false" ht="15" hidden="false" customHeight="false" outlineLevel="0" collapsed="false">
      <c r="A11" s="58" t="s">
        <v>665</v>
      </c>
      <c r="B11" s="120" t="s">
        <v>136</v>
      </c>
      <c r="C11" s="121" t="n">
        <v>0</v>
      </c>
      <c r="D11" s="120" t="n">
        <v>0</v>
      </c>
    </row>
    <row r="12" customFormat="false" ht="15" hidden="false" customHeight="false" outlineLevel="0" collapsed="false">
      <c r="A12" s="58" t="s">
        <v>666</v>
      </c>
      <c r="B12" s="120" t="s">
        <v>139</v>
      </c>
      <c r="C12" s="121" t="n">
        <v>0</v>
      </c>
      <c r="D12" s="120" t="n">
        <v>0</v>
      </c>
    </row>
    <row r="13" customFormat="false" ht="15" hidden="false" customHeight="false" outlineLevel="0" collapsed="false">
      <c r="A13" s="58" t="s">
        <v>667</v>
      </c>
      <c r="B13" s="120" t="s">
        <v>668</v>
      </c>
      <c r="C13" s="120" t="n">
        <v>-0.9128</v>
      </c>
      <c r="D13" s="120" t="n">
        <v>100</v>
      </c>
    </row>
    <row r="16" customFormat="false" ht="15" hidden="false" customHeight="false" outlineLevel="0" collapsed="false">
      <c r="A16" s="119" t="s">
        <v>669</v>
      </c>
      <c r="B16" s="119"/>
      <c r="C16" s="119"/>
      <c r="D16" s="119"/>
      <c r="E16" s="119"/>
      <c r="F16" s="119"/>
    </row>
    <row r="17" customFormat="false" ht="15" hidden="false" customHeight="false" outlineLevel="0" collapsed="false">
      <c r="A17" s="58" t="s">
        <v>80</v>
      </c>
      <c r="B17" s="58" t="s">
        <v>670</v>
      </c>
      <c r="C17" s="58" t="s">
        <v>671</v>
      </c>
      <c r="D17" s="58" t="s">
        <v>672</v>
      </c>
      <c r="E17" s="58" t="s">
        <v>673</v>
      </c>
      <c r="F17" s="58" t="s">
        <v>674</v>
      </c>
    </row>
    <row r="18" customFormat="false" ht="15" hidden="false" customHeight="false" outlineLevel="0" collapsed="false">
      <c r="A18" s="58" t="s">
        <v>65</v>
      </c>
      <c r="B18" s="120" t="n">
        <v>-0.068</v>
      </c>
      <c r="C18" s="120" t="n">
        <v>0</v>
      </c>
      <c r="D18" s="120" t="n">
        <v>0</v>
      </c>
      <c r="E18" s="120" t="n">
        <v>0</v>
      </c>
      <c r="F18" s="58" t="n">
        <v>0</v>
      </c>
    </row>
    <row r="19" customFormat="false" ht="15" hidden="false" customHeight="false" outlineLevel="0" collapsed="false">
      <c r="A19" s="58" t="s">
        <v>71</v>
      </c>
      <c r="B19" s="120" t="n">
        <v>0.156</v>
      </c>
      <c r="C19" s="120" t="n">
        <v>0</v>
      </c>
      <c r="D19" s="120" t="n">
        <v>0</v>
      </c>
      <c r="E19" s="120" t="n">
        <v>0</v>
      </c>
      <c r="F19" s="58" t="n">
        <v>0</v>
      </c>
    </row>
    <row r="20" customFormat="false" ht="15" hidden="false" customHeight="false" outlineLevel="0" collapsed="false">
      <c r="A20" s="58" t="s">
        <v>74</v>
      </c>
      <c r="B20" s="120" t="n">
        <v>-0.72</v>
      </c>
      <c r="C20" s="120" t="n">
        <v>0</v>
      </c>
      <c r="D20" s="120" t="n">
        <v>0</v>
      </c>
      <c r="E20" s="120" t="n">
        <v>0</v>
      </c>
      <c r="F20" s="58" t="n">
        <v>0</v>
      </c>
    </row>
    <row r="21" customFormat="false" ht="15" hidden="false" customHeight="false" outlineLevel="0" collapsed="false">
      <c r="A21" s="58" t="s">
        <v>75</v>
      </c>
      <c r="B21" s="120" t="n">
        <v>-2.302</v>
      </c>
      <c r="C21" s="120" t="n">
        <v>0</v>
      </c>
      <c r="D21" s="120" t="n">
        <v>0</v>
      </c>
      <c r="E21" s="120" t="n">
        <v>0</v>
      </c>
      <c r="F21" s="58" t="n">
        <v>0</v>
      </c>
    </row>
    <row r="22" customFormat="false" ht="15" hidden="false" customHeight="false" outlineLevel="0" collapsed="false">
      <c r="A22" s="58" t="s">
        <v>70</v>
      </c>
      <c r="B22" s="120" t="n">
        <v>-1.63</v>
      </c>
      <c r="C22" s="120" t="n">
        <v>0</v>
      </c>
      <c r="D22" s="120" t="n">
        <v>0</v>
      </c>
      <c r="E22" s="120" t="n">
        <v>0</v>
      </c>
      <c r="F22" s="58" t="n">
        <v>0</v>
      </c>
    </row>
    <row r="23" customFormat="false" ht="15" hidden="false" customHeight="false" outlineLevel="0" collapsed="false">
      <c r="A23" s="58" t="s">
        <v>260</v>
      </c>
      <c r="B23" s="58" t="n">
        <f aca="false">AVERAGE(B18:B22)</f>
        <v>0</v>
      </c>
      <c r="C23" s="58" t="n">
        <f aca="false">AVERAGE(C18:C22)</f>
        <v>0</v>
      </c>
      <c r="D23" s="58" t="n">
        <f aca="false">AVERAGE(D18:D22)</f>
        <v>0</v>
      </c>
      <c r="E23" s="58" t="n">
        <f aca="false">AVERAGE(E18:E22)</f>
        <v>0</v>
      </c>
      <c r="F23" s="58" t="n">
        <f aca="false">AVERAGE(F18:F22)</f>
        <v>0</v>
      </c>
    </row>
  </sheetData>
  <mergeCells count="4">
    <mergeCell ref="C1:E3"/>
    <mergeCell ref="C4:E5"/>
    <mergeCell ref="A8:E8"/>
    <mergeCell ref="A16:F1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0"/>
  <sheetViews>
    <sheetView showFormulas="false" showGridLines="true" showRowColHeaders="true" showZeros="true" rightToLeft="false" tabSelected="false" showOutlineSymbols="true" defaultGridColor="true" view="normal" topLeftCell="A1" colorId="64" zoomScale="197" zoomScaleNormal="197" zoomScalePageLayoutView="100" workbookViewId="0">
      <selection pane="topLeft" activeCell="A1" activeCellId="0" sqref="A1"/>
    </sheetView>
  </sheetViews>
  <sheetFormatPr defaultColWidth="8.60546875" defaultRowHeight="15" customHeight="false" zeroHeight="false" outlineLevelRow="0" outlineLevelCol="0"/>
  <sheetData>
    <row r="1" customFormat="false" ht="19.5" hidden="false" customHeight="true" outlineLevel="0" collapsed="false">
      <c r="A1" s="1"/>
      <c r="B1" s="1"/>
      <c r="C1" s="2" t="s">
        <v>675</v>
      </c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customFormat="false" ht="19.5" hidden="false" customHeight="true" outlineLevel="0" collapsed="false">
      <c r="A2" s="1"/>
      <c r="B2" s="1"/>
      <c r="C2" s="2"/>
      <c r="D2" s="2"/>
      <c r="E2" s="2"/>
      <c r="F2" s="3"/>
      <c r="G2" s="4" t="s">
        <v>1</v>
      </c>
      <c r="H2" s="5" t="s">
        <v>2</v>
      </c>
      <c r="I2" s="3"/>
      <c r="J2" s="3"/>
      <c r="K2" s="3"/>
      <c r="L2" s="3"/>
      <c r="M2" s="3"/>
      <c r="N2" s="3"/>
      <c r="O2" s="3"/>
      <c r="P2" s="3"/>
      <c r="Q2" s="3"/>
      <c r="R2" s="3"/>
    </row>
    <row r="3" customFormat="false" ht="19.5" hidden="false" customHeight="true" outlineLevel="0" collapsed="false">
      <c r="A3" s="1"/>
      <c r="B3" s="1"/>
      <c r="C3" s="2"/>
      <c r="D3" s="2"/>
      <c r="E3" s="2"/>
      <c r="F3" s="3"/>
      <c r="G3" s="4" t="s">
        <v>3</v>
      </c>
      <c r="H3" s="5" t="s">
        <v>4</v>
      </c>
      <c r="I3" s="3"/>
      <c r="J3" s="3"/>
      <c r="K3" s="4" t="s">
        <v>5</v>
      </c>
      <c r="L3" s="6" t="s">
        <v>6</v>
      </c>
      <c r="M3" s="3"/>
      <c r="N3" s="3"/>
      <c r="O3" s="3"/>
      <c r="P3" s="3"/>
      <c r="Q3" s="3"/>
      <c r="R3" s="3"/>
    </row>
    <row r="4" customFormat="false" ht="19.5" hidden="false" customHeight="true" outlineLevel="0" collapsed="false">
      <c r="A4" s="1"/>
      <c r="B4" s="1"/>
      <c r="C4" s="7" t="s">
        <v>7</v>
      </c>
      <c r="D4" s="7"/>
      <c r="E4" s="7"/>
      <c r="F4" s="3"/>
      <c r="G4" s="4" t="s">
        <v>8</v>
      </c>
      <c r="H4" s="5" t="s">
        <v>9</v>
      </c>
      <c r="I4" s="3"/>
      <c r="J4" s="3"/>
      <c r="K4" s="4" t="s">
        <v>10</v>
      </c>
      <c r="L4" s="6" t="s">
        <v>11</v>
      </c>
      <c r="M4" s="3"/>
      <c r="N4" s="3"/>
      <c r="O4" s="3"/>
      <c r="P4" s="3"/>
      <c r="Q4" s="3"/>
      <c r="R4" s="3"/>
    </row>
    <row r="5" customFormat="false" ht="19.5" hidden="false" customHeight="true" outlineLevel="0" collapsed="false">
      <c r="A5" s="8"/>
      <c r="B5" s="8"/>
      <c r="C5" s="7"/>
      <c r="D5" s="7"/>
      <c r="E5" s="7"/>
      <c r="F5" s="9"/>
      <c r="G5" s="10" t="s">
        <v>12</v>
      </c>
      <c r="H5" s="11" t="s">
        <v>13</v>
      </c>
      <c r="I5" s="9"/>
      <c r="J5" s="9"/>
      <c r="K5" s="10" t="s">
        <v>14</v>
      </c>
      <c r="L5" s="12" t="s">
        <v>15</v>
      </c>
      <c r="M5" s="9"/>
      <c r="N5" s="9"/>
      <c r="O5" s="9"/>
      <c r="P5" s="9"/>
      <c r="Q5" s="9"/>
      <c r="R5" s="9"/>
    </row>
    <row r="7" customFormat="false" ht="15" hidden="false" customHeight="false" outlineLevel="0" collapsed="false">
      <c r="A7" s="119" t="s">
        <v>676</v>
      </c>
      <c r="B7" s="119"/>
      <c r="C7" s="119"/>
      <c r="D7" s="119"/>
      <c r="E7" s="119"/>
      <c r="F7" s="119"/>
      <c r="G7" s="119"/>
      <c r="H7" s="119"/>
      <c r="I7" s="119"/>
      <c r="J7" s="119"/>
      <c r="K7" s="119"/>
      <c r="L7" s="119"/>
      <c r="M7" s="119"/>
      <c r="N7" s="119"/>
      <c r="P7" s="119" t="s">
        <v>677</v>
      </c>
      <c r="Q7" s="119"/>
      <c r="R7" s="119"/>
      <c r="S7" s="119"/>
      <c r="T7" s="119"/>
      <c r="U7" s="119"/>
    </row>
    <row r="9" customFormat="false" ht="15" hidden="false" customHeight="false" outlineLevel="0" collapsed="false">
      <c r="A9" s="58" t="s">
        <v>678</v>
      </c>
      <c r="B9" s="58" t="s">
        <v>679</v>
      </c>
      <c r="C9" s="58" t="s">
        <v>680</v>
      </c>
      <c r="D9" s="58" t="s">
        <v>360</v>
      </c>
      <c r="E9" s="58" t="s">
        <v>361</v>
      </c>
      <c r="F9" s="58" t="s">
        <v>362</v>
      </c>
      <c r="G9" s="58" t="s">
        <v>363</v>
      </c>
      <c r="H9" s="58" t="s">
        <v>364</v>
      </c>
      <c r="I9" s="58" t="s">
        <v>365</v>
      </c>
      <c r="J9" s="58" t="s">
        <v>366</v>
      </c>
      <c r="K9" s="58" t="s">
        <v>367</v>
      </c>
      <c r="L9" s="58" t="s">
        <v>368</v>
      </c>
      <c r="M9" s="58" t="s">
        <v>369</v>
      </c>
      <c r="N9" s="58" t="s">
        <v>681</v>
      </c>
      <c r="P9" s="58" t="s">
        <v>682</v>
      </c>
      <c r="Q9" s="58" t="s">
        <v>683</v>
      </c>
      <c r="R9" s="58" t="s">
        <v>684</v>
      </c>
      <c r="S9" s="58" t="s">
        <v>65</v>
      </c>
      <c r="T9" s="58" t="s">
        <v>71</v>
      </c>
      <c r="U9" s="58" t="s">
        <v>74</v>
      </c>
    </row>
    <row r="12" customFormat="false" ht="15" hidden="false" customHeight="false" outlineLevel="0" collapsed="false">
      <c r="A12" s="119" t="s">
        <v>685</v>
      </c>
      <c r="B12" s="119"/>
      <c r="C12" s="119"/>
      <c r="D12" s="119"/>
      <c r="E12" s="119"/>
      <c r="F12" s="119"/>
      <c r="G12" s="119"/>
      <c r="H12" s="119"/>
      <c r="I12" s="119"/>
      <c r="J12" s="119"/>
      <c r="K12" s="119"/>
      <c r="L12" s="119"/>
      <c r="M12" s="119"/>
      <c r="N12" s="119"/>
    </row>
    <row r="13" customFormat="false" ht="15" hidden="false" customHeight="false" outlineLevel="0" collapsed="false">
      <c r="A13" s="58" t="s">
        <v>679</v>
      </c>
      <c r="B13" s="58" t="s">
        <v>686</v>
      </c>
      <c r="C13" s="58" t="s">
        <v>687</v>
      </c>
      <c r="D13" s="58" t="s">
        <v>688</v>
      </c>
    </row>
    <row r="15" customFormat="false" ht="15" hidden="false" customHeight="false" outlineLevel="0" collapsed="false">
      <c r="P15" s="58" t="s">
        <v>689</v>
      </c>
    </row>
    <row r="16" customFormat="false" ht="15" hidden="false" customHeight="false" outlineLevel="0" collapsed="false">
      <c r="A16" s="119" t="s">
        <v>690</v>
      </c>
      <c r="B16" s="119"/>
      <c r="C16" s="119"/>
      <c r="D16" s="119"/>
      <c r="E16" s="119"/>
      <c r="F16" s="119"/>
      <c r="G16" s="119"/>
      <c r="H16" s="119"/>
      <c r="I16" s="119"/>
      <c r="J16" s="119"/>
      <c r="K16" s="119"/>
      <c r="L16" s="119"/>
      <c r="M16" s="119"/>
      <c r="N16" s="119"/>
      <c r="P16" s="18" t="s">
        <v>65</v>
      </c>
    </row>
    <row r="17" customFormat="false" ht="15" hidden="false" customHeight="false" outlineLevel="0" collapsed="false">
      <c r="P17" s="18" t="s">
        <v>71</v>
      </c>
    </row>
    <row r="18" customFormat="false" ht="15" hidden="false" customHeight="false" outlineLevel="0" collapsed="false">
      <c r="P18" s="18" t="s">
        <v>74</v>
      </c>
    </row>
    <row r="19" customFormat="false" ht="15" hidden="false" customHeight="false" outlineLevel="0" collapsed="false">
      <c r="P19" s="18" t="s">
        <v>75</v>
      </c>
    </row>
    <row r="20" customFormat="false" ht="15" hidden="false" customHeight="false" outlineLevel="0" collapsed="false">
      <c r="P20" s="18" t="s">
        <v>70</v>
      </c>
    </row>
  </sheetData>
  <mergeCells count="6">
    <mergeCell ref="C1:E3"/>
    <mergeCell ref="C4:E5"/>
    <mergeCell ref="A7:N7"/>
    <mergeCell ref="P7:U7"/>
    <mergeCell ref="A12:N12"/>
    <mergeCell ref="A16:N1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60"/>
  <sheetViews>
    <sheetView showFormulas="false" showGridLines="true" showRowColHeaders="true" showZeros="true" rightToLeft="false" tabSelected="false" showOutlineSymbols="true" defaultGridColor="true" view="normal" topLeftCell="A1" colorId="64" zoomScale="197" zoomScaleNormal="197" zoomScalePageLayoutView="100" workbookViewId="0">
      <selection pane="topLeft" activeCell="A1" activeCellId="0" sqref="A1"/>
    </sheetView>
  </sheetViews>
  <sheetFormatPr defaultColWidth="8.60546875" defaultRowHeight="15" customHeight="false" zeroHeight="false" outlineLevelRow="0" outlineLevelCol="0"/>
  <sheetData>
    <row r="1" customFormat="false" ht="19.5" hidden="false" customHeight="true" outlineLevel="0" collapsed="false">
      <c r="A1" s="1"/>
      <c r="B1" s="1"/>
      <c r="C1" s="2" t="s">
        <v>691</v>
      </c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customFormat="false" ht="19.5" hidden="false" customHeight="true" outlineLevel="0" collapsed="false">
      <c r="A2" s="1"/>
      <c r="B2" s="1"/>
      <c r="C2" s="2"/>
      <c r="D2" s="2"/>
      <c r="E2" s="2"/>
      <c r="F2" s="3"/>
      <c r="G2" s="4" t="s">
        <v>1</v>
      </c>
      <c r="H2" s="5" t="s">
        <v>2</v>
      </c>
      <c r="I2" s="3"/>
      <c r="J2" s="3"/>
      <c r="K2" s="3"/>
      <c r="L2" s="3"/>
      <c r="M2" s="3"/>
      <c r="N2" s="3"/>
      <c r="O2" s="3"/>
      <c r="P2" s="3"/>
      <c r="Q2" s="3"/>
      <c r="R2" s="3"/>
    </row>
    <row r="3" customFormat="false" ht="19.5" hidden="false" customHeight="true" outlineLevel="0" collapsed="false">
      <c r="A3" s="1"/>
      <c r="B3" s="1"/>
      <c r="C3" s="2"/>
      <c r="D3" s="2"/>
      <c r="E3" s="2"/>
      <c r="F3" s="3"/>
      <c r="G3" s="4" t="s">
        <v>3</v>
      </c>
      <c r="H3" s="5" t="s">
        <v>4</v>
      </c>
      <c r="I3" s="3"/>
      <c r="J3" s="3"/>
      <c r="K3" s="4" t="s">
        <v>5</v>
      </c>
      <c r="L3" s="6" t="s">
        <v>6</v>
      </c>
      <c r="M3" s="3"/>
      <c r="N3" s="3"/>
      <c r="O3" s="3"/>
      <c r="P3" s="3"/>
      <c r="Q3" s="3"/>
      <c r="R3" s="3"/>
    </row>
    <row r="4" customFormat="false" ht="19.5" hidden="false" customHeight="true" outlineLevel="0" collapsed="false">
      <c r="A4" s="1"/>
      <c r="B4" s="1"/>
      <c r="C4" s="7" t="s">
        <v>7</v>
      </c>
      <c r="D4" s="7"/>
      <c r="E4" s="7"/>
      <c r="F4" s="3"/>
      <c r="G4" s="4" t="s">
        <v>8</v>
      </c>
      <c r="H4" s="5" t="s">
        <v>9</v>
      </c>
      <c r="I4" s="3"/>
      <c r="J4" s="3"/>
      <c r="K4" s="4" t="s">
        <v>10</v>
      </c>
      <c r="L4" s="6" t="s">
        <v>11</v>
      </c>
      <c r="M4" s="3"/>
      <c r="N4" s="3"/>
      <c r="O4" s="3"/>
      <c r="P4" s="3"/>
      <c r="Q4" s="3"/>
      <c r="R4" s="3"/>
    </row>
    <row r="5" customFormat="false" ht="19.5" hidden="false" customHeight="true" outlineLevel="0" collapsed="false">
      <c r="A5" s="8"/>
      <c r="B5" s="8"/>
      <c r="C5" s="7"/>
      <c r="D5" s="7"/>
      <c r="E5" s="7"/>
      <c r="F5" s="9"/>
      <c r="G5" s="10" t="s">
        <v>12</v>
      </c>
      <c r="H5" s="11" t="s">
        <v>13</v>
      </c>
      <c r="I5" s="9"/>
      <c r="J5" s="9"/>
      <c r="K5" s="10" t="s">
        <v>14</v>
      </c>
      <c r="L5" s="12" t="s">
        <v>15</v>
      </c>
      <c r="M5" s="9"/>
      <c r="N5" s="9"/>
      <c r="O5" s="9"/>
      <c r="P5" s="9"/>
      <c r="Q5" s="9"/>
      <c r="R5" s="9"/>
    </row>
    <row r="7" customFormat="false" ht="15" hidden="false" customHeight="false" outlineLevel="0" collapsed="false">
      <c r="A7" s="119" t="s">
        <v>692</v>
      </c>
      <c r="B7" s="119"/>
      <c r="C7" s="119"/>
      <c r="D7" s="119"/>
      <c r="E7" s="119"/>
    </row>
    <row r="9" customFormat="false" ht="15" hidden="false" customHeight="false" outlineLevel="0" collapsed="false">
      <c r="A9" s="58" t="s">
        <v>693</v>
      </c>
      <c r="B9" s="58" t="s">
        <v>694</v>
      </c>
      <c r="C9" s="58" t="s">
        <v>695</v>
      </c>
      <c r="D9" s="58" t="s">
        <v>696</v>
      </c>
      <c r="E9" s="58" t="s">
        <v>360</v>
      </c>
      <c r="F9" s="58" t="s">
        <v>361</v>
      </c>
      <c r="G9" s="58" t="s">
        <v>362</v>
      </c>
      <c r="H9" s="58" t="s">
        <v>363</v>
      </c>
      <c r="I9" s="58" t="s">
        <v>364</v>
      </c>
      <c r="J9" s="58" t="s">
        <v>365</v>
      </c>
      <c r="K9" s="58" t="s">
        <v>366</v>
      </c>
      <c r="L9" s="58" t="s">
        <v>367</v>
      </c>
      <c r="M9" s="58" t="s">
        <v>368</v>
      </c>
      <c r="N9" s="58" t="s">
        <v>369</v>
      </c>
      <c r="O9" s="58" t="s">
        <v>681</v>
      </c>
    </row>
    <row r="10" customFormat="false" ht="15" hidden="false" customHeight="false" outlineLevel="0" collapsed="false">
      <c r="A10" s="58" t="s">
        <v>697</v>
      </c>
      <c r="B10" s="58" t="s">
        <v>698</v>
      </c>
      <c r="C10" s="58" t="n">
        <v>3</v>
      </c>
      <c r="D10" s="36"/>
      <c r="E10" s="36" t="n">
        <v>0.242666666666667</v>
      </c>
      <c r="F10" s="36" t="n">
        <v>-0.64</v>
      </c>
      <c r="G10" s="36" t="n">
        <v>-0.656666666666667</v>
      </c>
      <c r="H10" s="36" t="n">
        <v>0.242333333333333</v>
      </c>
      <c r="I10" s="36" t="n">
        <v>-0.395333333333333</v>
      </c>
      <c r="J10" s="36" t="n">
        <v>-0.412333333333333</v>
      </c>
      <c r="K10" s="36" t="n">
        <v>-0.811666666666667</v>
      </c>
      <c r="L10" s="36" t="n">
        <v>3.94133333333333</v>
      </c>
      <c r="M10" s="36" t="n">
        <v>3.95833333333333</v>
      </c>
      <c r="N10" s="36" t="n">
        <v>7.89966666666667</v>
      </c>
      <c r="O10" s="36" t="n">
        <v>1.64025925925926</v>
      </c>
    </row>
    <row r="11" customFormat="false" ht="15" hidden="false" customHeight="false" outlineLevel="0" collapsed="false">
      <c r="A11" s="18" t="s">
        <v>699</v>
      </c>
      <c r="B11" s="18" t="s">
        <v>700</v>
      </c>
      <c r="C11" s="18" t="n">
        <v>2</v>
      </c>
      <c r="D11" s="36"/>
      <c r="E11" s="36" t="n">
        <v>0.144</v>
      </c>
      <c r="F11" s="36" t="n">
        <v>-0.668</v>
      </c>
      <c r="G11" s="36" t="n">
        <v>-0.671</v>
      </c>
      <c r="H11" s="36" t="n">
        <v>0.1305</v>
      </c>
      <c r="I11" s="36" t="n">
        <v>-0.522</v>
      </c>
      <c r="J11" s="36" t="n">
        <v>-0.5375</v>
      </c>
      <c r="K11" s="36" t="n">
        <v>-1.0645</v>
      </c>
      <c r="L11" s="36" t="n">
        <v>4.068</v>
      </c>
      <c r="M11" s="36" t="n">
        <v>4.0845</v>
      </c>
      <c r="N11" s="36" t="n">
        <v>8.1525</v>
      </c>
      <c r="O11" s="36" t="n">
        <v>1.68005555555556</v>
      </c>
    </row>
    <row r="12" customFormat="false" ht="15" hidden="false" customHeight="false" outlineLevel="0" collapsed="false">
      <c r="A12" s="58" t="s">
        <v>701</v>
      </c>
      <c r="B12" s="58" t="s">
        <v>698</v>
      </c>
      <c r="C12" s="58" t="n">
        <v>2</v>
      </c>
      <c r="D12" s="36"/>
      <c r="E12" s="36" t="n">
        <v>-0.031</v>
      </c>
      <c r="F12" s="36" t="n">
        <v>-0.9585</v>
      </c>
      <c r="G12" s="36" t="n">
        <v>-0.9725</v>
      </c>
      <c r="H12" s="36" t="n">
        <v>-0.0379999999999999</v>
      </c>
      <c r="I12" s="36" t="n">
        <v>-0.9875</v>
      </c>
      <c r="J12" s="36" t="n">
        <v>-1.008</v>
      </c>
      <c r="K12" s="36" t="n">
        <v>-2</v>
      </c>
      <c r="L12" s="36" t="n">
        <v>4.5335</v>
      </c>
      <c r="M12" s="36" t="n">
        <v>4.5545</v>
      </c>
      <c r="N12" s="36" t="n">
        <v>9.088</v>
      </c>
      <c r="O12" s="36" t="n">
        <v>1.89322222222222</v>
      </c>
    </row>
    <row r="13" customFormat="false" ht="15" hidden="false" customHeight="false" outlineLevel="0" collapsed="false">
      <c r="A13" s="18" t="s">
        <v>702</v>
      </c>
      <c r="B13" s="18" t="s">
        <v>700</v>
      </c>
      <c r="C13" s="18" t="n">
        <v>3</v>
      </c>
      <c r="D13" s="36"/>
      <c r="E13" s="36" t="n">
        <v>0.359333333333333</v>
      </c>
      <c r="F13" s="36" t="n">
        <v>-0.446333333333333</v>
      </c>
      <c r="G13" s="36" t="n">
        <v>-0.455666666666667</v>
      </c>
      <c r="H13" s="36" t="n">
        <v>0.354666666666667</v>
      </c>
      <c r="I13" s="36" t="n">
        <v>-0.0850000000000001</v>
      </c>
      <c r="J13" s="36" t="n">
        <v>-0.0986666666666668</v>
      </c>
      <c r="K13" s="36" t="n">
        <v>-0.188</v>
      </c>
      <c r="L13" s="36" t="n">
        <v>3.631</v>
      </c>
      <c r="M13" s="36" t="n">
        <v>3.645</v>
      </c>
      <c r="N13" s="36" t="n">
        <v>7.276</v>
      </c>
      <c r="O13" s="36" t="n">
        <v>1.49814814814815</v>
      </c>
    </row>
    <row r="14" customFormat="false" ht="15" hidden="false" customHeight="false" outlineLevel="0" collapsed="false">
      <c r="A14" s="58" t="s">
        <v>703</v>
      </c>
      <c r="B14" s="58" t="s">
        <v>698</v>
      </c>
      <c r="C14" s="58" t="n">
        <v>2</v>
      </c>
      <c r="D14" s="36"/>
      <c r="E14" s="36" t="n">
        <v>0.095</v>
      </c>
      <c r="F14" s="36" t="n">
        <v>-0.6865</v>
      </c>
      <c r="G14" s="36" t="n">
        <v>-0.7025</v>
      </c>
      <c r="H14" s="36" t="n">
        <v>0.0880000000000001</v>
      </c>
      <c r="I14" s="36" t="n">
        <v>-0.5895</v>
      </c>
      <c r="J14" s="36" t="n">
        <v>-0.612</v>
      </c>
      <c r="K14" s="36" t="n">
        <v>-1.206</v>
      </c>
      <c r="L14" s="36" t="n">
        <v>4.1355</v>
      </c>
      <c r="M14" s="36" t="n">
        <v>4.1585</v>
      </c>
      <c r="N14" s="36" t="n">
        <v>8.294</v>
      </c>
      <c r="O14" s="36" t="n">
        <v>1.6925</v>
      </c>
    </row>
    <row r="15" customFormat="false" ht="15" hidden="false" customHeight="false" outlineLevel="0" collapsed="false">
      <c r="A15" s="18" t="s">
        <v>704</v>
      </c>
      <c r="B15" s="18" t="s">
        <v>700</v>
      </c>
      <c r="C15" s="18" t="n">
        <v>3</v>
      </c>
      <c r="D15" s="36"/>
      <c r="E15" s="36" t="n">
        <v>0.275333333333333</v>
      </c>
      <c r="F15" s="36" t="n">
        <v>-0.627666666666667</v>
      </c>
      <c r="G15" s="36" t="n">
        <v>-0.635666666666667</v>
      </c>
      <c r="H15" s="36" t="n">
        <v>0.270666666666667</v>
      </c>
      <c r="I15" s="36" t="n">
        <v>-0.350333333333333</v>
      </c>
      <c r="J15" s="36" t="n">
        <v>-0.362666666666667</v>
      </c>
      <c r="K15" s="36" t="n">
        <v>-0.717333333333333</v>
      </c>
      <c r="L15" s="36" t="n">
        <v>3.89633333333333</v>
      </c>
      <c r="M15" s="36" t="n">
        <v>3.909</v>
      </c>
      <c r="N15" s="36" t="n">
        <v>7.80533333333333</v>
      </c>
      <c r="O15" s="36" t="n">
        <v>1.63196296296296</v>
      </c>
    </row>
    <row r="16" customFormat="false" ht="15" hidden="false" customHeight="false" outlineLevel="0" collapsed="false">
      <c r="A16" s="58" t="s">
        <v>705</v>
      </c>
      <c r="B16" s="58" t="s">
        <v>698</v>
      </c>
      <c r="C16" s="58" t="n">
        <v>2</v>
      </c>
      <c r="D16" s="36"/>
      <c r="E16" s="36" t="n">
        <v>0.144</v>
      </c>
      <c r="F16" s="36" t="n">
        <v>-0.668</v>
      </c>
      <c r="G16" s="36" t="n">
        <v>-0.671</v>
      </c>
      <c r="H16" s="36" t="n">
        <v>0.1305</v>
      </c>
      <c r="I16" s="36" t="n">
        <v>-0.522</v>
      </c>
      <c r="J16" s="36" t="n">
        <v>-0.5375</v>
      </c>
      <c r="K16" s="36" t="n">
        <v>-1.0645</v>
      </c>
      <c r="L16" s="36" t="n">
        <v>4.068</v>
      </c>
      <c r="M16" s="36" t="n">
        <v>4.0845</v>
      </c>
      <c r="N16" s="36" t="n">
        <v>8.1525</v>
      </c>
      <c r="O16" s="36" t="n">
        <v>1.68005555555556</v>
      </c>
    </row>
    <row r="17" customFormat="false" ht="15" hidden="false" customHeight="false" outlineLevel="0" collapsed="false">
      <c r="A17" s="18" t="s">
        <v>706</v>
      </c>
      <c r="B17" s="18" t="s">
        <v>700</v>
      </c>
      <c r="C17" s="18" t="n">
        <v>3</v>
      </c>
      <c r="D17" s="36"/>
      <c r="E17" s="36" t="n">
        <v>0.242666666666667</v>
      </c>
      <c r="F17" s="36" t="n">
        <v>-0.64</v>
      </c>
      <c r="G17" s="36" t="n">
        <v>-0.656666666666667</v>
      </c>
      <c r="H17" s="36" t="n">
        <v>0.242333333333333</v>
      </c>
      <c r="I17" s="36" t="n">
        <v>-0.395333333333333</v>
      </c>
      <c r="J17" s="36" t="n">
        <v>-0.412333333333333</v>
      </c>
      <c r="K17" s="36" t="n">
        <v>-0.811666666666667</v>
      </c>
      <c r="L17" s="36" t="n">
        <v>3.94133333333333</v>
      </c>
      <c r="M17" s="36" t="n">
        <v>3.95833333333333</v>
      </c>
      <c r="N17" s="36" t="n">
        <v>7.89966666666667</v>
      </c>
      <c r="O17" s="36" t="n">
        <v>1.64025925925926</v>
      </c>
    </row>
    <row r="18" customFormat="false" ht="15" hidden="false" customHeight="false" outlineLevel="0" collapsed="false">
      <c r="A18" s="58" t="s">
        <v>707</v>
      </c>
      <c r="B18" s="58" t="s">
        <v>698</v>
      </c>
      <c r="C18" s="58" t="n">
        <v>3</v>
      </c>
      <c r="D18" s="36"/>
      <c r="E18" s="36" t="n">
        <v>0.275333333333333</v>
      </c>
      <c r="F18" s="36" t="n">
        <v>-0.627666666666667</v>
      </c>
      <c r="G18" s="36" t="n">
        <v>-0.635666666666667</v>
      </c>
      <c r="H18" s="36" t="n">
        <v>0.270666666666667</v>
      </c>
      <c r="I18" s="36" t="n">
        <v>-0.350333333333333</v>
      </c>
      <c r="J18" s="36" t="n">
        <v>-0.362666666666667</v>
      </c>
      <c r="K18" s="36" t="n">
        <v>-0.717333333333333</v>
      </c>
      <c r="L18" s="36" t="n">
        <v>3.89633333333333</v>
      </c>
      <c r="M18" s="36" t="n">
        <v>3.909</v>
      </c>
      <c r="N18" s="36" t="n">
        <v>7.80533333333333</v>
      </c>
      <c r="O18" s="36" t="n">
        <v>1.63196296296296</v>
      </c>
    </row>
    <row r="19" customFormat="false" ht="15" hidden="false" customHeight="false" outlineLevel="0" collapsed="false">
      <c r="A19" s="18" t="s">
        <v>708</v>
      </c>
      <c r="B19" s="18" t="s">
        <v>700</v>
      </c>
      <c r="C19" s="18" t="n">
        <v>2</v>
      </c>
      <c r="D19" s="36"/>
      <c r="E19" s="36" t="n">
        <v>0.095</v>
      </c>
      <c r="F19" s="36" t="n">
        <v>-0.6865</v>
      </c>
      <c r="G19" s="36" t="n">
        <v>-0.7025</v>
      </c>
      <c r="H19" s="36" t="n">
        <v>0.0880000000000001</v>
      </c>
      <c r="I19" s="36" t="n">
        <v>-0.5895</v>
      </c>
      <c r="J19" s="36" t="n">
        <v>-0.612</v>
      </c>
      <c r="K19" s="36" t="n">
        <v>-1.206</v>
      </c>
      <c r="L19" s="36" t="n">
        <v>4.1355</v>
      </c>
      <c r="M19" s="36" t="n">
        <v>4.1585</v>
      </c>
      <c r="N19" s="36" t="n">
        <v>8.294</v>
      </c>
      <c r="O19" s="36" t="n">
        <v>1.6925</v>
      </c>
    </row>
    <row r="20" customFormat="false" ht="15" hidden="false" customHeight="false" outlineLevel="0" collapsed="false">
      <c r="A20" s="58" t="s">
        <v>709</v>
      </c>
      <c r="B20" s="58" t="s">
        <v>698</v>
      </c>
      <c r="C20" s="58" t="n">
        <v>2</v>
      </c>
      <c r="D20" s="36"/>
      <c r="E20" s="36" t="n">
        <v>0.036</v>
      </c>
      <c r="F20" s="36" t="n">
        <v>-0.7985</v>
      </c>
      <c r="G20" s="36" t="n">
        <v>-0.81</v>
      </c>
      <c r="H20" s="36" t="n">
        <v>0.0285000000000001</v>
      </c>
      <c r="I20" s="36" t="n">
        <v>-0.7605</v>
      </c>
      <c r="J20" s="36" t="n">
        <v>-0.779</v>
      </c>
      <c r="K20" s="36" t="n">
        <v>-1.544</v>
      </c>
      <c r="L20" s="36" t="n">
        <v>4.3065</v>
      </c>
      <c r="M20" s="36" t="n">
        <v>4.3255</v>
      </c>
      <c r="N20" s="36" t="n">
        <v>8.632</v>
      </c>
      <c r="O20" s="36" t="n">
        <v>1.796</v>
      </c>
    </row>
    <row r="21" customFormat="false" ht="15" hidden="false" customHeight="false" outlineLevel="0" collapsed="false">
      <c r="A21" s="18" t="s">
        <v>710</v>
      </c>
      <c r="B21" s="18" t="s">
        <v>700</v>
      </c>
      <c r="C21" s="18" t="n">
        <v>3</v>
      </c>
      <c r="D21" s="36"/>
      <c r="E21" s="36" t="n">
        <v>0.314666666666667</v>
      </c>
      <c r="F21" s="36" t="n">
        <v>-0.553</v>
      </c>
      <c r="G21" s="36" t="n">
        <v>-0.564</v>
      </c>
      <c r="H21" s="36" t="n">
        <v>0.310333333333333</v>
      </c>
      <c r="I21" s="36" t="n">
        <v>-0.236333333333333</v>
      </c>
      <c r="J21" s="36" t="n">
        <v>-0.251333333333333</v>
      </c>
      <c r="K21" s="36" t="n">
        <v>-0.492</v>
      </c>
      <c r="L21" s="36" t="n">
        <v>3.78233333333333</v>
      </c>
      <c r="M21" s="36" t="n">
        <v>3.79766666666667</v>
      </c>
      <c r="N21" s="36" t="n">
        <v>7.58</v>
      </c>
      <c r="O21" s="36" t="n">
        <v>1.56296296296296</v>
      </c>
    </row>
    <row r="24" customFormat="false" ht="15" hidden="false" customHeight="false" outlineLevel="0" collapsed="false">
      <c r="A24" s="119" t="s">
        <v>711</v>
      </c>
      <c r="B24" s="119"/>
      <c r="C24" s="119"/>
      <c r="D24" s="119"/>
      <c r="E24" s="119"/>
    </row>
    <row r="26" customFormat="false" ht="15" hidden="false" customHeight="false" outlineLevel="0" collapsed="false">
      <c r="A26" s="58" t="s">
        <v>712</v>
      </c>
      <c r="B26" s="58" t="n">
        <v>1</v>
      </c>
      <c r="C26" s="58" t="n">
        <v>2</v>
      </c>
      <c r="D26" s="58" t="n">
        <v>3</v>
      </c>
      <c r="E26" s="58" t="n">
        <v>4</v>
      </c>
      <c r="F26" s="58" t="n">
        <v>5</v>
      </c>
      <c r="G26" s="58" t="s">
        <v>260</v>
      </c>
      <c r="H26" s="58" t="s">
        <v>261</v>
      </c>
    </row>
    <row r="27" customFormat="false" ht="15" hidden="false" customHeight="false" outlineLevel="0" collapsed="false">
      <c r="A27" s="58" t="s">
        <v>713</v>
      </c>
      <c r="B27" s="36" t="n">
        <v>1</v>
      </c>
      <c r="C27" s="36" t="n">
        <v>0</v>
      </c>
      <c r="D27" s="36" t="n">
        <v>1</v>
      </c>
      <c r="E27" s="36" t="n">
        <v>0</v>
      </c>
      <c r="F27" s="36" t="n">
        <v>1</v>
      </c>
      <c r="G27" s="36" t="n">
        <v>0.6</v>
      </c>
      <c r="H27" s="36" t="n">
        <v>0.547722557505166</v>
      </c>
    </row>
    <row r="28" customFormat="false" ht="15" hidden="false" customHeight="false" outlineLevel="0" collapsed="false">
      <c r="A28" s="58" t="s">
        <v>714</v>
      </c>
      <c r="B28" s="36" t="n">
        <v>18</v>
      </c>
      <c r="C28" s="36" t="n">
        <v>19</v>
      </c>
      <c r="D28" s="36" t="n">
        <v>20</v>
      </c>
      <c r="E28" s="36" t="n">
        <v>21</v>
      </c>
      <c r="F28" s="36" t="n">
        <v>22</v>
      </c>
      <c r="G28" s="36" t="n">
        <v>20</v>
      </c>
      <c r="H28" s="36" t="n">
        <v>1.58113883008419</v>
      </c>
    </row>
    <row r="29" customFormat="false" ht="15" hidden="false" customHeight="false" outlineLevel="0" collapsed="false">
      <c r="A29" s="58" t="s">
        <v>715</v>
      </c>
      <c r="B29" s="36" t="n">
        <v>1</v>
      </c>
      <c r="C29" s="36" t="n">
        <v>0</v>
      </c>
      <c r="D29" s="36" t="n">
        <v>0</v>
      </c>
      <c r="E29" s="36" t="n">
        <v>1</v>
      </c>
      <c r="F29" s="36" t="n">
        <v>0</v>
      </c>
      <c r="G29" s="36" t="n">
        <v>0.4</v>
      </c>
      <c r="H29" s="36" t="n">
        <v>0.547722557505166</v>
      </c>
    </row>
    <row r="30" customFormat="false" ht="15" hidden="false" customHeight="false" outlineLevel="0" collapsed="false">
      <c r="A30" s="58" t="s">
        <v>716</v>
      </c>
      <c r="B30" s="36" t="n">
        <v>0</v>
      </c>
      <c r="C30" s="36" t="n">
        <v>1</v>
      </c>
      <c r="D30" s="36" t="n">
        <v>0</v>
      </c>
      <c r="E30" s="36" t="n">
        <v>1</v>
      </c>
      <c r="F30" s="36" t="n">
        <v>0</v>
      </c>
      <c r="G30" s="36" t="n">
        <v>0.4</v>
      </c>
      <c r="H30" s="36" t="n">
        <v>0.547722557505166</v>
      </c>
    </row>
    <row r="31" customFormat="false" ht="15" hidden="false" customHeight="false" outlineLevel="0" collapsed="false">
      <c r="A31" s="58" t="s">
        <v>717</v>
      </c>
      <c r="B31" s="36" t="n">
        <v>2</v>
      </c>
      <c r="C31" s="36" t="n">
        <v>3</v>
      </c>
      <c r="D31" s="36" t="n">
        <v>4</v>
      </c>
      <c r="E31" s="36" t="n">
        <v>2</v>
      </c>
      <c r="F31" s="36" t="n">
        <v>3</v>
      </c>
      <c r="G31" s="36" t="n">
        <v>2.8</v>
      </c>
      <c r="H31" s="36" t="n">
        <v>0.836660026534076</v>
      </c>
    </row>
    <row r="32" customFormat="false" ht="15" hidden="false" customHeight="false" outlineLevel="0" collapsed="false">
      <c r="A32" s="58" t="s">
        <v>718</v>
      </c>
      <c r="B32" s="36" t="n">
        <v>1</v>
      </c>
      <c r="C32" s="36" t="n">
        <v>2</v>
      </c>
      <c r="D32" s="36" t="n">
        <v>3</v>
      </c>
      <c r="E32" s="36" t="n">
        <v>4</v>
      </c>
      <c r="F32" s="36" t="n">
        <v>1</v>
      </c>
      <c r="G32" s="36" t="n">
        <v>2.2</v>
      </c>
      <c r="H32" s="36" t="n">
        <v>1.30384048104053</v>
      </c>
    </row>
    <row r="35" customFormat="false" ht="15" hidden="false" customHeight="false" outlineLevel="0" collapsed="false">
      <c r="A35" s="119" t="s">
        <v>719</v>
      </c>
      <c r="B35" s="119"/>
      <c r="C35" s="119"/>
      <c r="D35" s="119"/>
      <c r="E35" s="119"/>
    </row>
    <row r="37" customFormat="false" ht="15" hidden="false" customHeight="false" outlineLevel="0" collapsed="false">
      <c r="A37" s="58" t="s">
        <v>720</v>
      </c>
      <c r="B37" s="58" t="s">
        <v>260</v>
      </c>
      <c r="C37" s="58" t="s">
        <v>261</v>
      </c>
    </row>
    <row r="38" customFormat="false" ht="15" hidden="false" customHeight="false" outlineLevel="0" collapsed="false">
      <c r="A38" s="58" t="s">
        <v>713</v>
      </c>
      <c r="B38" s="36" t="n">
        <f aca="false">'8.AAG_D'!G27</f>
        <v>0</v>
      </c>
      <c r="C38" s="36" t="n">
        <f aca="false">'8.AAG_D'!H27</f>
        <v>0</v>
      </c>
    </row>
    <row r="39" customFormat="false" ht="15" hidden="false" customHeight="false" outlineLevel="0" collapsed="false">
      <c r="A39" s="58" t="s">
        <v>714</v>
      </c>
      <c r="B39" s="36" t="n">
        <f aca="false">'8.AAG_D'!G28</f>
        <v>0</v>
      </c>
      <c r="C39" s="36" t="n">
        <f aca="false">'8.AAG_D'!H28</f>
        <v>0</v>
      </c>
    </row>
    <row r="40" customFormat="false" ht="15" hidden="false" customHeight="false" outlineLevel="0" collapsed="false">
      <c r="A40" s="58" t="s">
        <v>715</v>
      </c>
      <c r="B40" s="36" t="n">
        <f aca="false">'8.AAG_D'!G29</f>
        <v>0</v>
      </c>
      <c r="C40" s="36" t="n">
        <f aca="false">'8.AAG_D'!H29</f>
        <v>0</v>
      </c>
    </row>
    <row r="41" customFormat="false" ht="15" hidden="false" customHeight="false" outlineLevel="0" collapsed="false">
      <c r="A41" s="58" t="s">
        <v>716</v>
      </c>
      <c r="B41" s="36" t="n">
        <f aca="false">'8.AAG_D'!G30</f>
        <v>0</v>
      </c>
      <c r="C41" s="36" t="n">
        <f aca="false">'8.AAG_D'!H30</f>
        <v>0</v>
      </c>
    </row>
    <row r="42" customFormat="false" ht="15" hidden="false" customHeight="false" outlineLevel="0" collapsed="false">
      <c r="A42" s="58" t="s">
        <v>717</v>
      </c>
      <c r="B42" s="36" t="n">
        <f aca="false">'8.AAG_D'!G31</f>
        <v>0</v>
      </c>
      <c r="C42" s="36" t="n">
        <f aca="false">'8.AAG_D'!H31</f>
        <v>0</v>
      </c>
    </row>
    <row r="43" customFormat="false" ht="15" hidden="false" customHeight="false" outlineLevel="0" collapsed="false">
      <c r="A43" s="58" t="s">
        <v>718</v>
      </c>
      <c r="B43" s="36" t="n">
        <f aca="false">'8.AAG_D'!G32</f>
        <v>0</v>
      </c>
      <c r="C43" s="36" t="n">
        <f aca="false">'8.AAG_D'!H32</f>
        <v>0</v>
      </c>
    </row>
    <row r="47" customFormat="false" ht="15" hidden="false" customHeight="false" outlineLevel="0" collapsed="false">
      <c r="A47" s="119" t="s">
        <v>721</v>
      </c>
      <c r="B47" s="119"/>
      <c r="C47" s="119"/>
      <c r="D47" s="119"/>
      <c r="E47" s="119"/>
      <c r="F47" s="119"/>
      <c r="G47" s="119"/>
    </row>
    <row r="49" customFormat="false" ht="15" hidden="false" customHeight="false" outlineLevel="0" collapsed="false">
      <c r="A49" s="0" t="s">
        <v>697</v>
      </c>
      <c r="B49" s="0" t="n">
        <v>-0.395333333333333</v>
      </c>
      <c r="C49" s="0" t="n">
        <v>-0.412333333333333</v>
      </c>
    </row>
    <row r="50" customFormat="false" ht="15" hidden="false" customHeight="false" outlineLevel="0" collapsed="false">
      <c r="A50" s="0" t="s">
        <v>699</v>
      </c>
      <c r="B50" s="0" t="n">
        <v>-0.522</v>
      </c>
      <c r="C50" s="0" t="n">
        <v>-0.5375</v>
      </c>
    </row>
    <row r="51" customFormat="false" ht="15" hidden="false" customHeight="false" outlineLevel="0" collapsed="false">
      <c r="A51" s="0" t="s">
        <v>701</v>
      </c>
      <c r="B51" s="0" t="n">
        <v>-0.9875</v>
      </c>
      <c r="C51" s="0" t="n">
        <v>-1.008</v>
      </c>
    </row>
    <row r="52" customFormat="false" ht="15" hidden="false" customHeight="false" outlineLevel="0" collapsed="false">
      <c r="A52" s="0" t="s">
        <v>702</v>
      </c>
      <c r="B52" s="0" t="n">
        <v>-0.0850000000000001</v>
      </c>
      <c r="C52" s="0" t="n">
        <v>-0.0986666666666668</v>
      </c>
    </row>
    <row r="53" customFormat="false" ht="15" hidden="false" customHeight="false" outlineLevel="0" collapsed="false">
      <c r="A53" s="0" t="s">
        <v>703</v>
      </c>
      <c r="B53" s="0" t="n">
        <v>-0.5895</v>
      </c>
      <c r="C53" s="0" t="n">
        <v>-0.612</v>
      </c>
    </row>
    <row r="54" customFormat="false" ht="15" hidden="false" customHeight="false" outlineLevel="0" collapsed="false">
      <c r="A54" s="0" t="s">
        <v>704</v>
      </c>
      <c r="B54" s="0" t="n">
        <v>-0.350333333333333</v>
      </c>
      <c r="C54" s="0" t="n">
        <v>-0.362666666666667</v>
      </c>
    </row>
    <row r="55" customFormat="false" ht="15" hidden="false" customHeight="false" outlineLevel="0" collapsed="false">
      <c r="A55" s="0" t="s">
        <v>705</v>
      </c>
      <c r="B55" s="0" t="n">
        <v>-0.522</v>
      </c>
      <c r="C55" s="0" t="n">
        <v>-0.5375</v>
      </c>
    </row>
    <row r="56" customFormat="false" ht="15" hidden="false" customHeight="false" outlineLevel="0" collapsed="false">
      <c r="A56" s="0" t="s">
        <v>706</v>
      </c>
      <c r="B56" s="0" t="n">
        <v>-0.395333333333333</v>
      </c>
      <c r="C56" s="0" t="n">
        <v>-0.412333333333333</v>
      </c>
    </row>
    <row r="57" customFormat="false" ht="15" hidden="false" customHeight="false" outlineLevel="0" collapsed="false">
      <c r="A57" s="0" t="s">
        <v>707</v>
      </c>
      <c r="B57" s="0" t="n">
        <v>-0.350333333333333</v>
      </c>
      <c r="C57" s="0" t="n">
        <v>-0.362666666666667</v>
      </c>
    </row>
    <row r="58" customFormat="false" ht="15" hidden="false" customHeight="false" outlineLevel="0" collapsed="false">
      <c r="A58" s="0" t="s">
        <v>708</v>
      </c>
      <c r="B58" s="0" t="n">
        <v>-0.5895</v>
      </c>
      <c r="C58" s="0" t="n">
        <v>-0.612</v>
      </c>
    </row>
    <row r="59" customFormat="false" ht="15" hidden="false" customHeight="false" outlineLevel="0" collapsed="false">
      <c r="A59" s="0" t="s">
        <v>709</v>
      </c>
      <c r="B59" s="0" t="n">
        <v>-0.7605</v>
      </c>
      <c r="C59" s="0" t="n">
        <v>-0.779</v>
      </c>
    </row>
    <row r="60" customFormat="false" ht="15" hidden="false" customHeight="false" outlineLevel="0" collapsed="false">
      <c r="A60" s="0" t="s">
        <v>710</v>
      </c>
      <c r="B60" s="0" t="n">
        <v>-0.236333333333333</v>
      </c>
      <c r="C60" s="0" t="n">
        <v>-0.251333333333333</v>
      </c>
    </row>
  </sheetData>
  <mergeCells count="6">
    <mergeCell ref="C1:E3"/>
    <mergeCell ref="C4:E5"/>
    <mergeCell ref="A7:E7"/>
    <mergeCell ref="A24:E24"/>
    <mergeCell ref="A35:E35"/>
    <mergeCell ref="A47:G4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8"/>
  <sheetViews>
    <sheetView showFormulas="false" showGridLines="true" showRowColHeaders="true" showZeros="true" rightToLeft="false" tabSelected="false" showOutlineSymbols="true" defaultGridColor="true" view="normal" topLeftCell="A1" colorId="64" zoomScale="197" zoomScaleNormal="197" zoomScalePageLayoutView="100" workbookViewId="0">
      <selection pane="topLeft" activeCell="A1" activeCellId="0" sqref="A1"/>
    </sheetView>
  </sheetViews>
  <sheetFormatPr defaultColWidth="8.60546875" defaultRowHeight="15" customHeight="false" zeroHeight="false" outlineLevelRow="0" outlineLevelCol="0"/>
  <cols>
    <col collapsed="false" customWidth="true" hidden="false" outlineLevel="0" max="1" min="1" style="0" width="7.71"/>
    <col collapsed="false" customWidth="true" hidden="false" outlineLevel="0" max="2" min="2" style="0" width="10.71"/>
    <col collapsed="false" customWidth="true" hidden="false" outlineLevel="0" max="3" min="3" style="0" width="8.71"/>
    <col collapsed="false" customWidth="true" hidden="false" outlineLevel="0" max="6" min="4" style="0" width="6.71"/>
  </cols>
  <sheetData>
    <row r="1" customFormat="false" ht="19.5" hidden="false" customHeight="true" outlineLevel="0" collapsed="false">
      <c r="A1" s="1"/>
      <c r="B1" s="1"/>
      <c r="C1" s="2" t="s">
        <v>722</v>
      </c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customFormat="false" ht="19.5" hidden="false" customHeight="true" outlineLevel="0" collapsed="false">
      <c r="A2" s="1"/>
      <c r="B2" s="1"/>
      <c r="C2" s="2"/>
      <c r="D2" s="2"/>
      <c r="E2" s="2"/>
      <c r="F2" s="3"/>
      <c r="G2" s="4" t="s">
        <v>1</v>
      </c>
      <c r="H2" s="5" t="s">
        <v>2</v>
      </c>
      <c r="I2" s="3"/>
      <c r="J2" s="3"/>
      <c r="K2" s="3"/>
      <c r="L2" s="3"/>
      <c r="M2" s="3"/>
      <c r="N2" s="3"/>
      <c r="O2" s="3"/>
      <c r="P2" s="3"/>
      <c r="Q2" s="3"/>
      <c r="R2" s="3"/>
    </row>
    <row r="3" customFormat="false" ht="19.5" hidden="false" customHeight="true" outlineLevel="0" collapsed="false">
      <c r="A3" s="1"/>
      <c r="B3" s="1"/>
      <c r="C3" s="2"/>
      <c r="D3" s="2"/>
      <c r="E3" s="2"/>
      <c r="F3" s="3"/>
      <c r="G3" s="4" t="s">
        <v>3</v>
      </c>
      <c r="H3" s="5" t="s">
        <v>4</v>
      </c>
      <c r="I3" s="3"/>
      <c r="J3" s="3"/>
      <c r="K3" s="4" t="s">
        <v>5</v>
      </c>
      <c r="L3" s="6" t="s">
        <v>6</v>
      </c>
      <c r="M3" s="3"/>
      <c r="N3" s="3"/>
      <c r="O3" s="3"/>
      <c r="P3" s="3"/>
      <c r="Q3" s="3"/>
      <c r="R3" s="3"/>
    </row>
    <row r="4" customFormat="false" ht="19.5" hidden="false" customHeight="true" outlineLevel="0" collapsed="false">
      <c r="A4" s="1"/>
      <c r="B4" s="1"/>
      <c r="C4" s="7" t="s">
        <v>7</v>
      </c>
      <c r="D4" s="7"/>
      <c r="E4" s="7"/>
      <c r="F4" s="3"/>
      <c r="G4" s="4" t="s">
        <v>8</v>
      </c>
      <c r="H4" s="5" t="s">
        <v>9</v>
      </c>
      <c r="I4" s="3"/>
      <c r="J4" s="3"/>
      <c r="K4" s="4" t="s">
        <v>10</v>
      </c>
      <c r="L4" s="6" t="s">
        <v>11</v>
      </c>
      <c r="M4" s="3"/>
      <c r="N4" s="3"/>
      <c r="O4" s="3"/>
      <c r="P4" s="3"/>
      <c r="Q4" s="3"/>
      <c r="R4" s="3"/>
    </row>
    <row r="5" customFormat="false" ht="19.5" hidden="false" customHeight="true" outlineLevel="0" collapsed="false">
      <c r="A5" s="8"/>
      <c r="B5" s="8"/>
      <c r="C5" s="7"/>
      <c r="D5" s="7"/>
      <c r="E5" s="7"/>
      <c r="F5" s="9"/>
      <c r="G5" s="10" t="s">
        <v>12</v>
      </c>
      <c r="H5" s="11" t="s">
        <v>13</v>
      </c>
      <c r="I5" s="9"/>
      <c r="J5" s="9"/>
      <c r="K5" s="10" t="s">
        <v>14</v>
      </c>
      <c r="L5" s="12" t="s">
        <v>15</v>
      </c>
      <c r="M5" s="9"/>
      <c r="N5" s="9"/>
      <c r="O5" s="9"/>
      <c r="P5" s="9"/>
      <c r="Q5" s="9"/>
      <c r="R5" s="9"/>
    </row>
    <row r="7" customFormat="false" ht="15" hidden="false" customHeight="false" outlineLevel="0" collapsed="false">
      <c r="A7" s="119" t="s">
        <v>723</v>
      </c>
      <c r="B7" s="119"/>
      <c r="C7" s="119"/>
      <c r="D7" s="119"/>
      <c r="E7" s="119"/>
      <c r="F7" s="119"/>
      <c r="G7" s="119"/>
      <c r="H7" s="119"/>
      <c r="I7" s="119"/>
      <c r="J7" s="119"/>
      <c r="K7" s="119"/>
      <c r="L7" s="119"/>
      <c r="M7" s="119"/>
      <c r="N7" s="119"/>
      <c r="O7" s="119"/>
      <c r="P7" s="119"/>
    </row>
    <row r="8" customFormat="false" ht="18.65" hidden="false" customHeight="false" outlineLevel="0" collapsed="false">
      <c r="A8" s="18" t="s">
        <v>724</v>
      </c>
      <c r="B8" s="18" t="s">
        <v>388</v>
      </c>
      <c r="C8" s="18" t="s">
        <v>725</v>
      </c>
      <c r="D8" s="122" t="s">
        <v>716</v>
      </c>
      <c r="E8" s="122" t="s">
        <v>717</v>
      </c>
      <c r="F8" s="122" t="s">
        <v>718</v>
      </c>
    </row>
    <row r="9" customFormat="false" ht="15" hidden="false" customHeight="false" outlineLevel="0" collapsed="false">
      <c r="A9" s="18" t="s">
        <v>65</v>
      </c>
      <c r="B9" s="18" t="s">
        <v>65</v>
      </c>
      <c r="C9" s="123"/>
      <c r="D9" s="124" t="n">
        <v>0</v>
      </c>
      <c r="E9" s="124" t="n">
        <v>2</v>
      </c>
      <c r="F9" s="124" t="n">
        <v>1</v>
      </c>
    </row>
    <row r="10" customFormat="false" ht="15" hidden="false" customHeight="false" outlineLevel="0" collapsed="false">
      <c r="A10" s="18"/>
      <c r="B10" s="18" t="s">
        <v>726</v>
      </c>
      <c r="C10" s="34" t="n">
        <v>2</v>
      </c>
      <c r="D10" s="125" t="n">
        <v>0.5</v>
      </c>
      <c r="E10" s="125" t="n">
        <v>0.5</v>
      </c>
      <c r="F10" s="125" t="n">
        <v>0.5</v>
      </c>
    </row>
    <row r="11" customFormat="false" ht="15" hidden="false" customHeight="false" outlineLevel="0" collapsed="false">
      <c r="A11" s="18"/>
      <c r="B11" s="18" t="s">
        <v>727</v>
      </c>
      <c r="C11" s="34" t="n">
        <v>2</v>
      </c>
      <c r="D11" s="125" t="n">
        <v>0.5</v>
      </c>
      <c r="E11" s="125" t="n">
        <v>0.5</v>
      </c>
      <c r="F11" s="125" t="n">
        <v>0.5</v>
      </c>
    </row>
    <row r="12" customFormat="false" ht="15" hidden="false" customHeight="false" outlineLevel="0" collapsed="false">
      <c r="A12" s="18"/>
      <c r="B12" s="18" t="s">
        <v>728</v>
      </c>
      <c r="C12" s="34"/>
      <c r="D12" s="125" t="n">
        <v>0</v>
      </c>
      <c r="E12" s="125" t="n">
        <v>0</v>
      </c>
      <c r="F12" s="125" t="n">
        <v>0</v>
      </c>
    </row>
    <row r="13" customFormat="false" ht="15" hidden="false" customHeight="false" outlineLevel="0" collapsed="false">
      <c r="A13" s="18" t="s">
        <v>71</v>
      </c>
      <c r="B13" s="18" t="s">
        <v>71</v>
      </c>
      <c r="C13" s="123"/>
      <c r="D13" s="124" t="n">
        <v>1</v>
      </c>
      <c r="E13" s="124" t="n">
        <v>3</v>
      </c>
      <c r="F13" s="124" t="n">
        <v>2</v>
      </c>
    </row>
    <row r="14" customFormat="false" ht="15" hidden="false" customHeight="false" outlineLevel="0" collapsed="false">
      <c r="A14" s="18"/>
      <c r="B14" s="18" t="s">
        <v>729</v>
      </c>
      <c r="C14" s="34" t="n">
        <v>3</v>
      </c>
      <c r="D14" s="125" t="n">
        <v>-0.333333333333333</v>
      </c>
      <c r="E14" s="125" t="n">
        <v>-0.333333333333334</v>
      </c>
      <c r="F14" s="125" t="n">
        <v>-0.333333333333333</v>
      </c>
    </row>
    <row r="15" customFormat="false" ht="15" hidden="false" customHeight="false" outlineLevel="0" collapsed="false">
      <c r="A15" s="18"/>
      <c r="B15" s="18" t="s">
        <v>730</v>
      </c>
      <c r="C15" s="34" t="n">
        <v>2</v>
      </c>
      <c r="D15" s="125" t="n">
        <v>-0.5</v>
      </c>
      <c r="E15" s="125" t="n">
        <v>-0.5</v>
      </c>
      <c r="F15" s="125" t="n">
        <v>-0.5</v>
      </c>
    </row>
    <row r="16" customFormat="false" ht="15" hidden="false" customHeight="false" outlineLevel="0" collapsed="false">
      <c r="A16" s="18"/>
      <c r="B16" s="18" t="s">
        <v>728</v>
      </c>
      <c r="C16" s="34"/>
      <c r="D16" s="125" t="n">
        <v>0.166666666666667</v>
      </c>
      <c r="E16" s="125" t="n">
        <v>0.166666666666667</v>
      </c>
      <c r="F16" s="125" t="n">
        <v>0.166666666666667</v>
      </c>
    </row>
    <row r="17" customFormat="false" ht="15" hidden="false" customHeight="false" outlineLevel="0" collapsed="false">
      <c r="A17" s="18" t="s">
        <v>74</v>
      </c>
      <c r="B17" s="18" t="s">
        <v>74</v>
      </c>
      <c r="C17" s="123"/>
      <c r="D17" s="124" t="n">
        <v>0</v>
      </c>
      <c r="E17" s="124" t="n">
        <v>4</v>
      </c>
      <c r="F17" s="124" t="n">
        <v>3</v>
      </c>
    </row>
    <row r="18" customFormat="false" ht="15" hidden="false" customHeight="false" outlineLevel="0" collapsed="false">
      <c r="A18" s="18"/>
      <c r="B18" s="18" t="s">
        <v>731</v>
      </c>
      <c r="C18" s="34" t="n">
        <v>2</v>
      </c>
      <c r="D18" s="125" t="n">
        <v>0.5</v>
      </c>
      <c r="E18" s="126" t="s">
        <v>732</v>
      </c>
      <c r="F18" s="126" t="s">
        <v>732</v>
      </c>
    </row>
    <row r="19" customFormat="false" ht="15" hidden="false" customHeight="false" outlineLevel="0" collapsed="false">
      <c r="A19" s="18"/>
      <c r="B19" s="18" t="s">
        <v>733</v>
      </c>
      <c r="C19" s="34" t="n">
        <v>2</v>
      </c>
      <c r="D19" s="125" t="n">
        <v>0.5</v>
      </c>
      <c r="E19" s="126" t="s">
        <v>732</v>
      </c>
      <c r="F19" s="126" t="s">
        <v>732</v>
      </c>
    </row>
    <row r="20" customFormat="false" ht="15" hidden="false" customHeight="false" outlineLevel="0" collapsed="false">
      <c r="A20" s="18"/>
      <c r="B20" s="18" t="s">
        <v>728</v>
      </c>
      <c r="C20" s="34"/>
      <c r="D20" s="125" t="n">
        <v>0</v>
      </c>
      <c r="E20" s="125" t="n">
        <v>0</v>
      </c>
      <c r="F20" s="125" t="n">
        <v>0</v>
      </c>
    </row>
    <row r="21" customFormat="false" ht="15" hidden="false" customHeight="false" outlineLevel="0" collapsed="false">
      <c r="A21" s="18" t="s">
        <v>75</v>
      </c>
      <c r="B21" s="18" t="s">
        <v>75</v>
      </c>
      <c r="C21" s="123"/>
      <c r="D21" s="124" t="n">
        <v>1</v>
      </c>
      <c r="E21" s="124" t="n">
        <v>2</v>
      </c>
      <c r="F21" s="124" t="n">
        <v>4</v>
      </c>
    </row>
    <row r="22" customFormat="false" ht="15" hidden="false" customHeight="false" outlineLevel="0" collapsed="false">
      <c r="A22" s="18"/>
      <c r="B22" s="18" t="s">
        <v>734</v>
      </c>
      <c r="C22" s="34" t="n">
        <v>2</v>
      </c>
      <c r="D22" s="125" t="n">
        <v>-0.5</v>
      </c>
      <c r="E22" s="125" t="n">
        <v>0.5</v>
      </c>
      <c r="F22" s="126" t="s">
        <v>735</v>
      </c>
    </row>
    <row r="23" customFormat="false" ht="15" hidden="false" customHeight="false" outlineLevel="0" collapsed="false">
      <c r="A23" s="18"/>
      <c r="B23" s="18" t="s">
        <v>736</v>
      </c>
      <c r="C23" s="34" t="n">
        <v>2</v>
      </c>
      <c r="D23" s="125" t="n">
        <v>-0.5</v>
      </c>
      <c r="E23" s="125" t="n">
        <v>0.5</v>
      </c>
      <c r="F23" s="126" t="s">
        <v>735</v>
      </c>
    </row>
    <row r="24" customFormat="false" ht="15" hidden="false" customHeight="false" outlineLevel="0" collapsed="false">
      <c r="A24" s="18"/>
      <c r="B24" s="18" t="s">
        <v>728</v>
      </c>
      <c r="C24" s="34"/>
      <c r="D24" s="125" t="n">
        <v>0</v>
      </c>
      <c r="E24" s="125" t="n">
        <v>0</v>
      </c>
      <c r="F24" s="125" t="n">
        <v>0</v>
      </c>
    </row>
    <row r="25" customFormat="false" ht="15" hidden="false" customHeight="false" outlineLevel="0" collapsed="false">
      <c r="A25" s="18" t="s">
        <v>70</v>
      </c>
      <c r="B25" s="18" t="s">
        <v>70</v>
      </c>
      <c r="C25" s="123"/>
      <c r="D25" s="124" t="n">
        <v>0</v>
      </c>
      <c r="E25" s="124" t="n">
        <v>3</v>
      </c>
      <c r="F25" s="124" t="n">
        <v>1</v>
      </c>
    </row>
    <row r="26" customFormat="false" ht="15" hidden="false" customHeight="false" outlineLevel="0" collapsed="false">
      <c r="A26" s="18"/>
      <c r="B26" s="18" t="s">
        <v>737</v>
      </c>
      <c r="C26" s="34" t="n">
        <v>2</v>
      </c>
      <c r="D26" s="125" t="n">
        <v>0.5</v>
      </c>
      <c r="E26" s="125" t="n">
        <v>-0.5</v>
      </c>
      <c r="F26" s="125" t="n">
        <v>0.5</v>
      </c>
    </row>
    <row r="27" customFormat="false" ht="15" hidden="false" customHeight="false" outlineLevel="0" collapsed="false">
      <c r="A27" s="18"/>
      <c r="B27" s="18" t="s">
        <v>738</v>
      </c>
      <c r="C27" s="34" t="n">
        <v>2</v>
      </c>
      <c r="D27" s="125" t="n">
        <v>0.5</v>
      </c>
      <c r="E27" s="125" t="n">
        <v>-0.5</v>
      </c>
      <c r="F27" s="125" t="n">
        <v>0.5</v>
      </c>
    </row>
    <row r="28" customFormat="false" ht="15" hidden="false" customHeight="false" outlineLevel="0" collapsed="false">
      <c r="A28" s="18"/>
      <c r="B28" s="18" t="s">
        <v>728</v>
      </c>
      <c r="C28" s="34"/>
      <c r="D28" s="125" t="n">
        <v>0</v>
      </c>
      <c r="E28" s="125" t="n">
        <v>0</v>
      </c>
      <c r="F28" s="125" t="n">
        <v>0</v>
      </c>
    </row>
  </sheetData>
  <mergeCells count="8">
    <mergeCell ref="C1:E3"/>
    <mergeCell ref="C4:E5"/>
    <mergeCell ref="A7:P7"/>
    <mergeCell ref="A9:A12"/>
    <mergeCell ref="A13:A16"/>
    <mergeCell ref="A17:A20"/>
    <mergeCell ref="A21:A24"/>
    <mergeCell ref="A25:A2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5"/>
  <sheetViews>
    <sheetView showFormulas="false" showGridLines="true" showRowColHeaders="true" showZeros="true" rightToLeft="false" tabSelected="false" showOutlineSymbols="true" defaultGridColor="true" view="normal" topLeftCell="A1" colorId="64" zoomScale="197" zoomScaleNormal="197" zoomScalePageLayoutView="100" workbookViewId="0">
      <selection pane="topLeft" activeCell="A1" activeCellId="0" sqref="A1"/>
    </sheetView>
  </sheetViews>
  <sheetFormatPr defaultColWidth="8.60546875" defaultRowHeight="15" customHeight="false" zeroHeight="false" outlineLevelRow="0" outlineLevelCol="0"/>
  <sheetData>
    <row r="1" customFormat="false" ht="19.5" hidden="false" customHeight="true" outlineLevel="0" collapsed="false">
      <c r="A1" s="1"/>
      <c r="B1" s="1"/>
      <c r="C1" s="2" t="s">
        <v>739</v>
      </c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customFormat="false" ht="19.5" hidden="false" customHeight="true" outlineLevel="0" collapsed="false">
      <c r="A2" s="1"/>
      <c r="B2" s="1"/>
      <c r="C2" s="2"/>
      <c r="D2" s="2"/>
      <c r="E2" s="2"/>
      <c r="F2" s="3"/>
      <c r="G2" s="4" t="s">
        <v>1</v>
      </c>
      <c r="H2" s="5" t="s">
        <v>2</v>
      </c>
      <c r="I2" s="3"/>
      <c r="J2" s="3"/>
      <c r="K2" s="3"/>
      <c r="L2" s="3"/>
      <c r="M2" s="3"/>
      <c r="N2" s="3"/>
      <c r="O2" s="3"/>
      <c r="P2" s="3"/>
      <c r="Q2" s="3"/>
      <c r="R2" s="3"/>
    </row>
    <row r="3" customFormat="false" ht="19.5" hidden="false" customHeight="true" outlineLevel="0" collapsed="false">
      <c r="A3" s="1"/>
      <c r="B3" s="1"/>
      <c r="C3" s="2"/>
      <c r="D3" s="2"/>
      <c r="E3" s="2"/>
      <c r="F3" s="3"/>
      <c r="G3" s="4" t="s">
        <v>3</v>
      </c>
      <c r="H3" s="5" t="s">
        <v>4</v>
      </c>
      <c r="I3" s="3"/>
      <c r="J3" s="3"/>
      <c r="K3" s="4" t="s">
        <v>5</v>
      </c>
      <c r="L3" s="6" t="s">
        <v>6</v>
      </c>
      <c r="M3" s="3"/>
      <c r="N3" s="3"/>
      <c r="O3" s="3"/>
      <c r="P3" s="3"/>
      <c r="Q3" s="3"/>
      <c r="R3" s="3"/>
    </row>
    <row r="4" customFormat="false" ht="19.5" hidden="false" customHeight="true" outlineLevel="0" collapsed="false">
      <c r="A4" s="1"/>
      <c r="B4" s="1"/>
      <c r="C4" s="7" t="s">
        <v>7</v>
      </c>
      <c r="D4" s="7"/>
      <c r="E4" s="7"/>
      <c r="F4" s="3"/>
      <c r="G4" s="4" t="s">
        <v>8</v>
      </c>
      <c r="H4" s="5" t="s">
        <v>9</v>
      </c>
      <c r="I4" s="3"/>
      <c r="J4" s="3"/>
      <c r="K4" s="4" t="s">
        <v>10</v>
      </c>
      <c r="L4" s="6" t="s">
        <v>11</v>
      </c>
      <c r="M4" s="3"/>
      <c r="N4" s="3"/>
      <c r="O4" s="3"/>
      <c r="P4" s="3"/>
      <c r="Q4" s="3"/>
      <c r="R4" s="3"/>
    </row>
    <row r="5" customFormat="false" ht="19.5" hidden="false" customHeight="true" outlineLevel="0" collapsed="false">
      <c r="A5" s="8"/>
      <c r="B5" s="8"/>
      <c r="C5" s="7"/>
      <c r="D5" s="7"/>
      <c r="E5" s="7"/>
      <c r="F5" s="9"/>
      <c r="G5" s="10" t="s">
        <v>12</v>
      </c>
      <c r="H5" s="11" t="s">
        <v>13</v>
      </c>
      <c r="I5" s="9"/>
      <c r="J5" s="9"/>
      <c r="K5" s="10" t="s">
        <v>14</v>
      </c>
      <c r="L5" s="12" t="s">
        <v>15</v>
      </c>
      <c r="M5" s="9"/>
      <c r="N5" s="9"/>
      <c r="O5" s="9"/>
      <c r="P5" s="9"/>
      <c r="Q5" s="9"/>
      <c r="R5" s="9"/>
    </row>
  </sheetData>
  <mergeCells count="2">
    <mergeCell ref="C1:E3"/>
    <mergeCell ref="C4:E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85"/>
  <sheetViews>
    <sheetView showFormulas="false" showGridLines="true" showRowColHeaders="true" showZeros="true" rightToLeft="false" tabSelected="false" showOutlineSymbols="true" defaultGridColor="true" view="normal" topLeftCell="A1" colorId="64" zoomScale="197" zoomScaleNormal="197" zoomScalePageLayoutView="100" workbookViewId="0">
      <selection pane="topLeft" activeCell="A1" activeCellId="0" sqref="A1"/>
    </sheetView>
  </sheetViews>
  <sheetFormatPr defaultColWidth="8.60546875" defaultRowHeight="15" customHeight="false" zeroHeight="false" outlineLevelRow="0" outlineLevelCol="0"/>
  <sheetData>
    <row r="1" customFormat="false" ht="19.5" hidden="false" customHeight="true" outlineLevel="0" collapsed="false">
      <c r="A1" s="1"/>
      <c r="B1" s="1"/>
      <c r="C1" s="2" t="s">
        <v>740</v>
      </c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customFormat="false" ht="19.5" hidden="false" customHeight="true" outlineLevel="0" collapsed="false">
      <c r="A2" s="1"/>
      <c r="B2" s="1"/>
      <c r="C2" s="2"/>
      <c r="D2" s="2"/>
      <c r="E2" s="2"/>
      <c r="F2" s="3"/>
      <c r="G2" s="4" t="s">
        <v>1</v>
      </c>
      <c r="H2" s="5" t="s">
        <v>2</v>
      </c>
      <c r="I2" s="3"/>
      <c r="J2" s="3"/>
      <c r="K2" s="3"/>
      <c r="L2" s="3"/>
      <c r="M2" s="3"/>
      <c r="N2" s="3"/>
      <c r="O2" s="3"/>
      <c r="P2" s="3"/>
      <c r="Q2" s="3"/>
      <c r="R2" s="3"/>
    </row>
    <row r="3" customFormat="false" ht="19.5" hidden="false" customHeight="true" outlineLevel="0" collapsed="false">
      <c r="A3" s="1"/>
      <c r="B3" s="1"/>
      <c r="C3" s="2"/>
      <c r="D3" s="2"/>
      <c r="E3" s="2"/>
      <c r="F3" s="3"/>
      <c r="G3" s="4" t="s">
        <v>3</v>
      </c>
      <c r="H3" s="5" t="s">
        <v>4</v>
      </c>
      <c r="I3" s="3"/>
      <c r="J3" s="3"/>
      <c r="K3" s="4" t="s">
        <v>5</v>
      </c>
      <c r="L3" s="6" t="s">
        <v>6</v>
      </c>
      <c r="M3" s="3"/>
      <c r="N3" s="3"/>
      <c r="O3" s="3"/>
      <c r="P3" s="3"/>
      <c r="Q3" s="3"/>
      <c r="R3" s="3"/>
    </row>
    <row r="4" customFormat="false" ht="19.5" hidden="false" customHeight="true" outlineLevel="0" collapsed="false">
      <c r="A4" s="1"/>
      <c r="B4" s="1"/>
      <c r="C4" s="7" t="s">
        <v>7</v>
      </c>
      <c r="D4" s="7"/>
      <c r="E4" s="7"/>
      <c r="F4" s="3"/>
      <c r="G4" s="4" t="s">
        <v>8</v>
      </c>
      <c r="H4" s="5" t="s">
        <v>9</v>
      </c>
      <c r="I4" s="3"/>
      <c r="J4" s="3"/>
      <c r="K4" s="4" t="s">
        <v>10</v>
      </c>
      <c r="L4" s="6" t="s">
        <v>11</v>
      </c>
      <c r="M4" s="3"/>
      <c r="N4" s="3"/>
      <c r="O4" s="3"/>
      <c r="P4" s="3"/>
      <c r="Q4" s="3"/>
      <c r="R4" s="3"/>
    </row>
    <row r="5" customFormat="false" ht="19.5" hidden="false" customHeight="true" outlineLevel="0" collapsed="false">
      <c r="A5" s="8"/>
      <c r="B5" s="8"/>
      <c r="C5" s="7"/>
      <c r="D5" s="7"/>
      <c r="E5" s="7"/>
      <c r="F5" s="9"/>
      <c r="G5" s="10" t="s">
        <v>12</v>
      </c>
      <c r="H5" s="11" t="s">
        <v>13</v>
      </c>
      <c r="I5" s="9"/>
      <c r="J5" s="9"/>
      <c r="K5" s="10" t="s">
        <v>14</v>
      </c>
      <c r="L5" s="12" t="s">
        <v>15</v>
      </c>
      <c r="M5" s="9"/>
      <c r="N5" s="9"/>
      <c r="O5" s="9"/>
      <c r="P5" s="9"/>
      <c r="Q5" s="9"/>
      <c r="R5" s="9"/>
    </row>
    <row r="7" customFormat="false" ht="15" hidden="false" customHeight="false" outlineLevel="0" collapsed="false">
      <c r="A7" s="119" t="s">
        <v>741</v>
      </c>
      <c r="B7" s="119"/>
      <c r="C7" s="119"/>
      <c r="D7" s="119"/>
      <c r="F7" s="119" t="s">
        <v>742</v>
      </c>
      <c r="G7" s="119"/>
      <c r="H7" s="119"/>
      <c r="I7" s="119"/>
      <c r="J7" s="119"/>
      <c r="K7" s="119"/>
      <c r="L7" s="119"/>
    </row>
    <row r="9" customFormat="false" ht="15" hidden="false" customHeight="false" outlineLevel="0" collapsed="false">
      <c r="A9" s="18" t="s">
        <v>80</v>
      </c>
      <c r="B9" s="18" t="s">
        <v>743</v>
      </c>
      <c r="C9" s="18" t="s">
        <v>744</v>
      </c>
      <c r="D9" s="18" t="s">
        <v>745</v>
      </c>
      <c r="F9" s="18" t="s">
        <v>80</v>
      </c>
      <c r="G9" s="18" t="s">
        <v>746</v>
      </c>
      <c r="H9" s="18" t="s">
        <v>747</v>
      </c>
      <c r="I9" s="18" t="s">
        <v>748</v>
      </c>
      <c r="J9" s="18" t="s">
        <v>749</v>
      </c>
      <c r="K9" s="18" t="s">
        <v>750</v>
      </c>
      <c r="L9" s="18" t="s">
        <v>751</v>
      </c>
    </row>
    <row r="10" customFormat="false" ht="15" hidden="false" customHeight="false" outlineLevel="0" collapsed="false">
      <c r="A10" s="18" t="s">
        <v>65</v>
      </c>
      <c r="B10" s="127" t="n">
        <v>1</v>
      </c>
      <c r="C10" s="127" t="n">
        <v>1</v>
      </c>
      <c r="D10" s="127" t="n">
        <v>1</v>
      </c>
      <c r="F10" s="18" t="s">
        <v>65</v>
      </c>
      <c r="G10" s="128" t="n">
        <v>-0.641288523208952</v>
      </c>
      <c r="H10" s="128" t="n">
        <v>-0.673199865937232</v>
      </c>
      <c r="I10" s="128" t="n">
        <v>-0.641288523208952</v>
      </c>
      <c r="J10" s="128" t="n">
        <v>-0.673199865937232</v>
      </c>
      <c r="K10" s="128" t="n">
        <v>-0.338272534488439</v>
      </c>
      <c r="L10" s="128" t="n">
        <v>-0.35331473214012</v>
      </c>
    </row>
    <row r="11" customFormat="false" ht="15" hidden="false" customHeight="false" outlineLevel="0" collapsed="false">
      <c r="A11" s="18" t="s">
        <v>70</v>
      </c>
      <c r="B11" s="127" t="n">
        <v>1</v>
      </c>
      <c r="C11" s="127" t="n">
        <v>1</v>
      </c>
      <c r="D11" s="129" t="n">
        <v>2</v>
      </c>
      <c r="F11" s="18" t="s">
        <v>70</v>
      </c>
      <c r="G11" s="128" t="n">
        <v>-0.641288523208952</v>
      </c>
      <c r="H11" s="128" t="n">
        <v>-0.673199865937232</v>
      </c>
      <c r="I11" s="128" t="n">
        <v>-0.641288523208952</v>
      </c>
      <c r="J11" s="128" t="n">
        <v>-0.673199865937232</v>
      </c>
      <c r="K11" s="130" t="n">
        <v>-0.944304511929464</v>
      </c>
      <c r="L11" s="130" t="n">
        <v>-0.993084999734343</v>
      </c>
    </row>
    <row r="12" customFormat="false" ht="15" hidden="false" customHeight="false" outlineLevel="0" collapsed="false">
      <c r="A12" s="18" t="s">
        <v>71</v>
      </c>
      <c r="B12" s="131" t="n">
        <v>2</v>
      </c>
      <c r="C12" s="132" t="n">
        <v>2</v>
      </c>
      <c r="D12" s="132" t="n">
        <v>3</v>
      </c>
      <c r="F12" s="18" t="s">
        <v>71</v>
      </c>
      <c r="G12" s="133" t="n">
        <v>-0.723420061988299</v>
      </c>
      <c r="H12" s="133" t="n">
        <v>-0.745039994775272</v>
      </c>
      <c r="I12" s="134" t="n">
        <v>-0.381776328087001</v>
      </c>
      <c r="J12" s="134" t="n">
        <v>-0.355193839199829</v>
      </c>
      <c r="K12" s="134" t="n">
        <v>-0.381776328087001</v>
      </c>
      <c r="L12" s="134" t="n">
        <v>-0.355193839199829</v>
      </c>
    </row>
    <row r="13" customFormat="false" ht="15" hidden="false" customHeight="false" outlineLevel="0" collapsed="false">
      <c r="A13" s="18" t="s">
        <v>74</v>
      </c>
      <c r="B13" s="131" t="n">
        <v>2</v>
      </c>
      <c r="C13" s="132" t="n">
        <v>2</v>
      </c>
      <c r="D13" s="132" t="n">
        <v>3</v>
      </c>
      <c r="F13" s="18" t="s">
        <v>74</v>
      </c>
      <c r="G13" s="133" t="n">
        <v>-0.723420061988299</v>
      </c>
      <c r="H13" s="133" t="n">
        <v>-0.745039994775272</v>
      </c>
      <c r="I13" s="134" t="n">
        <v>-0.381776328087001</v>
      </c>
      <c r="J13" s="134" t="n">
        <v>-0.355193839199829</v>
      </c>
      <c r="K13" s="134" t="n">
        <v>-0.381776328087001</v>
      </c>
      <c r="L13" s="134" t="n">
        <v>-0.355193839199829</v>
      </c>
    </row>
    <row r="14" customFormat="false" ht="15" hidden="false" customHeight="false" outlineLevel="0" collapsed="false">
      <c r="A14" s="18" t="s">
        <v>75</v>
      </c>
      <c r="B14" s="131" t="n">
        <v>2</v>
      </c>
      <c r="C14" s="131" t="n">
        <v>3</v>
      </c>
      <c r="D14" s="131" t="n">
        <v>4</v>
      </c>
      <c r="F14" s="18" t="s">
        <v>75</v>
      </c>
      <c r="G14" s="133" t="n">
        <v>-0.723420061988299</v>
      </c>
      <c r="H14" s="133" t="n">
        <v>-0.745039994775272</v>
      </c>
      <c r="I14" s="133" t="n">
        <v>-1.4067075297909</v>
      </c>
      <c r="J14" s="133" t="n">
        <v>-1.52473230592616</v>
      </c>
      <c r="K14" s="133" t="n">
        <v>-1.4067075297909</v>
      </c>
      <c r="L14" s="133" t="n">
        <v>-1.52473230592616</v>
      </c>
    </row>
    <row r="18" customFormat="false" ht="15" hidden="false" customHeight="false" outlineLevel="0" collapsed="false">
      <c r="A18" s="119" t="s">
        <v>752</v>
      </c>
      <c r="B18" s="119"/>
      <c r="C18" s="119"/>
      <c r="D18" s="119"/>
      <c r="E18" s="119"/>
      <c r="F18" s="119"/>
      <c r="G18" s="119"/>
      <c r="H18" s="119"/>
      <c r="I18" s="119"/>
      <c r="J18" s="119"/>
      <c r="K18" s="119"/>
      <c r="L18" s="119"/>
    </row>
    <row r="45" customFormat="false" ht="15" hidden="false" customHeight="false" outlineLevel="0" collapsed="false">
      <c r="A45" s="119" t="s">
        <v>753</v>
      </c>
      <c r="B45" s="119"/>
      <c r="C45" s="119"/>
      <c r="D45" s="119"/>
      <c r="E45" s="119"/>
      <c r="F45" s="119"/>
      <c r="G45" s="119"/>
      <c r="H45" s="119"/>
      <c r="I45" s="119"/>
      <c r="J45" s="119"/>
      <c r="K45" s="119"/>
      <c r="L45" s="119"/>
    </row>
    <row r="47" customFormat="false" ht="15" hidden="false" customHeight="false" outlineLevel="0" collapsed="false">
      <c r="A47" s="135" t="s">
        <v>754</v>
      </c>
      <c r="B47" s="135"/>
      <c r="C47" s="135"/>
      <c r="D47" s="135"/>
      <c r="E47" s="135" t="s">
        <v>755</v>
      </c>
      <c r="F47" s="135"/>
      <c r="G47" s="135"/>
      <c r="H47" s="135"/>
      <c r="I47" s="135"/>
      <c r="J47" s="135"/>
      <c r="K47" s="135"/>
      <c r="L47" s="135"/>
    </row>
    <row r="48" customFormat="false" ht="15" hidden="false" customHeight="true" outlineLevel="0" collapsed="false">
      <c r="A48" s="136" t="s">
        <v>756</v>
      </c>
      <c r="B48" s="136"/>
      <c r="C48" s="136"/>
      <c r="D48" s="136"/>
      <c r="E48" s="136" t="s">
        <v>757</v>
      </c>
      <c r="F48" s="136"/>
      <c r="G48" s="136"/>
      <c r="H48" s="136"/>
      <c r="I48" s="136"/>
      <c r="J48" s="136"/>
      <c r="K48" s="136"/>
      <c r="L48" s="136"/>
    </row>
    <row r="49" customFormat="false" ht="15" hidden="false" customHeight="false" outlineLevel="0" collapsed="false">
      <c r="A49" s="136"/>
      <c r="B49" s="136"/>
      <c r="C49" s="136"/>
      <c r="D49" s="136"/>
      <c r="E49" s="136"/>
      <c r="F49" s="136"/>
      <c r="G49" s="136"/>
      <c r="H49" s="136"/>
      <c r="I49" s="136"/>
      <c r="J49" s="136"/>
      <c r="K49" s="136"/>
      <c r="L49" s="136"/>
    </row>
    <row r="50" customFormat="false" ht="15" hidden="false" customHeight="true" outlineLevel="0" collapsed="false">
      <c r="A50" s="136" t="s">
        <v>758</v>
      </c>
      <c r="B50" s="136"/>
      <c r="C50" s="136"/>
      <c r="D50" s="136"/>
      <c r="E50" s="136" t="s">
        <v>759</v>
      </c>
      <c r="F50" s="136"/>
      <c r="G50" s="136"/>
      <c r="H50" s="136"/>
      <c r="I50" s="136"/>
      <c r="J50" s="136"/>
      <c r="K50" s="136"/>
      <c r="L50" s="136"/>
    </row>
    <row r="51" customFormat="false" ht="15" hidden="false" customHeight="false" outlineLevel="0" collapsed="false">
      <c r="A51" s="136"/>
      <c r="B51" s="136"/>
      <c r="C51" s="136"/>
      <c r="D51" s="136"/>
      <c r="E51" s="136"/>
      <c r="F51" s="136"/>
      <c r="G51" s="136"/>
      <c r="H51" s="136"/>
      <c r="I51" s="136"/>
      <c r="J51" s="136"/>
      <c r="K51" s="136"/>
      <c r="L51" s="136"/>
    </row>
    <row r="52" customFormat="false" ht="15" hidden="false" customHeight="true" outlineLevel="0" collapsed="false">
      <c r="A52" s="136" t="s">
        <v>760</v>
      </c>
      <c r="B52" s="136"/>
      <c r="C52" s="136"/>
      <c r="D52" s="136"/>
      <c r="E52" s="136" t="s">
        <v>761</v>
      </c>
      <c r="F52" s="136"/>
      <c r="G52" s="136"/>
      <c r="H52" s="136"/>
      <c r="I52" s="136"/>
      <c r="J52" s="136"/>
      <c r="K52" s="136"/>
      <c r="L52" s="136"/>
    </row>
    <row r="53" customFormat="false" ht="15" hidden="false" customHeight="false" outlineLevel="0" collapsed="false">
      <c r="A53" s="136"/>
      <c r="B53" s="136"/>
      <c r="C53" s="136"/>
      <c r="D53" s="136"/>
      <c r="E53" s="136"/>
      <c r="F53" s="136"/>
      <c r="G53" s="136"/>
      <c r="H53" s="136"/>
      <c r="I53" s="136"/>
      <c r="J53" s="136"/>
      <c r="K53" s="136"/>
      <c r="L53" s="136"/>
    </row>
    <row r="54" customFormat="false" ht="15" hidden="false" customHeight="true" outlineLevel="0" collapsed="false">
      <c r="A54" s="136" t="s">
        <v>762</v>
      </c>
      <c r="B54" s="136"/>
      <c r="C54" s="136"/>
      <c r="D54" s="136"/>
      <c r="E54" s="136" t="s">
        <v>763</v>
      </c>
      <c r="F54" s="136"/>
      <c r="G54" s="136"/>
      <c r="H54" s="136"/>
      <c r="I54" s="136"/>
      <c r="J54" s="136"/>
      <c r="K54" s="136"/>
      <c r="L54" s="136"/>
    </row>
    <row r="55" customFormat="false" ht="15" hidden="false" customHeight="false" outlineLevel="0" collapsed="false">
      <c r="A55" s="136"/>
      <c r="B55" s="136"/>
      <c r="C55" s="136"/>
      <c r="D55" s="136"/>
      <c r="E55" s="136"/>
      <c r="F55" s="136"/>
      <c r="G55" s="136"/>
      <c r="H55" s="136"/>
      <c r="I55" s="136"/>
      <c r="J55" s="136"/>
      <c r="K55" s="136"/>
      <c r="L55" s="136"/>
    </row>
    <row r="58" customFormat="false" ht="15" hidden="false" customHeight="false" outlineLevel="0" collapsed="false">
      <c r="A58" s="119" t="s">
        <v>764</v>
      </c>
      <c r="B58" s="119"/>
      <c r="C58" s="119"/>
      <c r="D58" s="119"/>
      <c r="E58" s="119"/>
      <c r="F58" s="119"/>
      <c r="G58" s="119"/>
      <c r="H58" s="119"/>
      <c r="I58" s="119"/>
      <c r="J58" s="119"/>
      <c r="K58" s="119"/>
      <c r="L58" s="119"/>
    </row>
    <row r="60" customFormat="false" ht="15" hidden="false" customHeight="false" outlineLevel="0" collapsed="false">
      <c r="A60" s="135" t="s">
        <v>765</v>
      </c>
      <c r="B60" s="135"/>
      <c r="C60" s="135"/>
      <c r="D60" s="135"/>
      <c r="E60" s="135"/>
    </row>
    <row r="61" customFormat="false" ht="15" hidden="false" customHeight="false" outlineLevel="0" collapsed="false">
      <c r="A61" s="135" t="s">
        <v>766</v>
      </c>
      <c r="B61" s="135" t="s">
        <v>767</v>
      </c>
      <c r="C61" s="135" t="s">
        <v>768</v>
      </c>
      <c r="D61" s="135" t="s">
        <v>769</v>
      </c>
    </row>
    <row r="62" customFormat="false" ht="15" hidden="false" customHeight="false" outlineLevel="0" collapsed="false">
      <c r="A62" s="137" t="n">
        <v>2</v>
      </c>
      <c r="B62" s="137" t="s">
        <v>770</v>
      </c>
      <c r="C62" s="137" t="n">
        <v>5.308</v>
      </c>
      <c r="D62" s="137" t="s">
        <v>73</v>
      </c>
    </row>
    <row r="63" customFormat="false" ht="15" hidden="false" customHeight="false" outlineLevel="0" collapsed="false">
      <c r="A63" s="137" t="n">
        <v>2</v>
      </c>
      <c r="B63" s="137" t="s">
        <v>771</v>
      </c>
      <c r="C63" s="137" t="n">
        <v>5</v>
      </c>
      <c r="D63" s="137" t="s">
        <v>76</v>
      </c>
    </row>
    <row r="64" customFormat="false" ht="15" hidden="false" customHeight="false" outlineLevel="0" collapsed="false">
      <c r="A64" s="137" t="n">
        <v>2</v>
      </c>
      <c r="B64" s="137" t="s">
        <v>772</v>
      </c>
      <c r="C64" s="137" t="n">
        <v>3.257</v>
      </c>
      <c r="D64" s="137" t="s">
        <v>773</v>
      </c>
    </row>
    <row r="65" customFormat="false" ht="15" hidden="false" customHeight="false" outlineLevel="0" collapsed="false">
      <c r="A65" s="137" t="n">
        <v>3</v>
      </c>
      <c r="B65" s="137" t="s">
        <v>770</v>
      </c>
      <c r="C65" s="137" t="n">
        <v>2.654</v>
      </c>
      <c r="D65" s="137" t="s">
        <v>774</v>
      </c>
    </row>
    <row r="66" customFormat="false" ht="15" hidden="false" customHeight="false" outlineLevel="0" collapsed="false">
      <c r="A66" s="137" t="n">
        <v>3</v>
      </c>
      <c r="B66" s="137" t="s">
        <v>771</v>
      </c>
      <c r="C66" s="137" t="n">
        <v>1.153</v>
      </c>
      <c r="D66" s="137" t="s">
        <v>775</v>
      </c>
    </row>
    <row r="67" customFormat="false" ht="15" hidden="false" customHeight="false" outlineLevel="0" collapsed="false">
      <c r="A67" s="137" t="n">
        <v>3</v>
      </c>
      <c r="B67" s="137" t="s">
        <v>772</v>
      </c>
      <c r="C67" s="137" t="n">
        <v>0.754</v>
      </c>
      <c r="D67" s="137" t="s">
        <v>776</v>
      </c>
    </row>
    <row r="68" customFormat="false" ht="15" hidden="false" customHeight="false" outlineLevel="0" collapsed="false">
      <c r="A68" s="137" t="n">
        <v>4</v>
      </c>
      <c r="B68" s="137" t="s">
        <v>770</v>
      </c>
      <c r="C68" s="137" t="n">
        <v>0.41</v>
      </c>
      <c r="D68" s="137" t="s">
        <v>777</v>
      </c>
    </row>
    <row r="69" customFormat="false" ht="15" hidden="false" customHeight="false" outlineLevel="0" collapsed="false">
      <c r="A69" s="137" t="n">
        <v>4</v>
      </c>
      <c r="B69" s="137" t="s">
        <v>771</v>
      </c>
      <c r="C69" s="137" t="n">
        <v>0.228</v>
      </c>
      <c r="D69" s="137" t="s">
        <v>778</v>
      </c>
    </row>
    <row r="70" customFormat="false" ht="15" hidden="false" customHeight="false" outlineLevel="0" collapsed="false">
      <c r="A70" s="137" t="n">
        <v>4</v>
      </c>
      <c r="B70" s="137" t="s">
        <v>772</v>
      </c>
      <c r="C70" s="137" t="n">
        <v>-0.181</v>
      </c>
      <c r="D70" s="137" t="s">
        <v>779</v>
      </c>
    </row>
    <row r="71" customFormat="false" ht="22.65" hidden="false" customHeight="false" outlineLevel="0" collapsed="false">
      <c r="A71" s="137" t="n">
        <v>5</v>
      </c>
      <c r="B71" s="137" t="s">
        <v>770</v>
      </c>
      <c r="C71" s="137" t="n">
        <v>-0.352</v>
      </c>
      <c r="D71" s="137" t="s">
        <v>780</v>
      </c>
    </row>
    <row r="73" customFormat="false" ht="15" hidden="false" customHeight="false" outlineLevel="0" collapsed="false">
      <c r="A73" s="138" t="s">
        <v>781</v>
      </c>
      <c r="B73" s="138"/>
      <c r="C73" s="138"/>
      <c r="D73" s="138"/>
      <c r="E73" s="138"/>
    </row>
    <row r="76" customFormat="false" ht="15" hidden="false" customHeight="false" outlineLevel="0" collapsed="false">
      <c r="A76" s="119" t="s">
        <v>782</v>
      </c>
      <c r="B76" s="119"/>
      <c r="C76" s="119"/>
      <c r="D76" s="119"/>
      <c r="E76" s="119"/>
      <c r="F76" s="119"/>
      <c r="G76" s="119"/>
      <c r="H76" s="119"/>
      <c r="I76" s="119"/>
      <c r="J76" s="119"/>
      <c r="K76" s="119"/>
      <c r="L76" s="119"/>
    </row>
    <row r="78" customFormat="false" ht="15" hidden="false" customHeight="false" outlineLevel="0" collapsed="false">
      <c r="A78" s="135" t="s">
        <v>783</v>
      </c>
      <c r="B78" s="135"/>
      <c r="C78" s="135"/>
      <c r="D78" s="135"/>
      <c r="E78" s="68" t="n">
        <v>1.82</v>
      </c>
    </row>
    <row r="80" customFormat="false" ht="15" hidden="false" customHeight="false" outlineLevel="0" collapsed="false">
      <c r="A80" s="135" t="s">
        <v>784</v>
      </c>
      <c r="B80" s="135" t="s">
        <v>785</v>
      </c>
      <c r="C80" s="135"/>
      <c r="D80" s="135"/>
      <c r="E80" s="135"/>
    </row>
    <row r="81" customFormat="false" ht="15" hidden="false" customHeight="false" outlineLevel="0" collapsed="false">
      <c r="A81" s="137" t="s">
        <v>65</v>
      </c>
      <c r="B81" s="139" t="s">
        <v>786</v>
      </c>
      <c r="C81" s="139"/>
      <c r="D81" s="139"/>
      <c r="E81" s="139"/>
    </row>
    <row r="82" customFormat="false" ht="15" hidden="false" customHeight="false" outlineLevel="0" collapsed="false">
      <c r="A82" s="137" t="s">
        <v>71</v>
      </c>
      <c r="B82" s="139" t="s">
        <v>786</v>
      </c>
      <c r="C82" s="139"/>
      <c r="D82" s="139"/>
      <c r="E82" s="139"/>
    </row>
    <row r="83" customFormat="false" ht="15" hidden="false" customHeight="false" outlineLevel="0" collapsed="false">
      <c r="A83" s="137" t="s">
        <v>74</v>
      </c>
      <c r="B83" s="139" t="s">
        <v>786</v>
      </c>
      <c r="C83" s="139"/>
      <c r="D83" s="139"/>
      <c r="E83" s="139"/>
    </row>
    <row r="84" customFormat="false" ht="15" hidden="false" customHeight="false" outlineLevel="0" collapsed="false">
      <c r="A84" s="137" t="s">
        <v>75</v>
      </c>
      <c r="B84" s="140" t="s">
        <v>787</v>
      </c>
      <c r="C84" s="140"/>
      <c r="D84" s="140"/>
      <c r="E84" s="140"/>
    </row>
    <row r="85" customFormat="false" ht="15" hidden="false" customHeight="false" outlineLevel="0" collapsed="false">
      <c r="A85" s="137" t="s">
        <v>70</v>
      </c>
      <c r="B85" s="140" t="s">
        <v>787</v>
      </c>
      <c r="C85" s="140"/>
      <c r="D85" s="140"/>
      <c r="E85" s="140"/>
    </row>
  </sheetData>
  <mergeCells count="27">
    <mergeCell ref="C1:E3"/>
    <mergeCell ref="C4:E5"/>
    <mergeCell ref="A7:D7"/>
    <mergeCell ref="F7:L7"/>
    <mergeCell ref="A18:L18"/>
    <mergeCell ref="A45:L45"/>
    <mergeCell ref="A47:D47"/>
    <mergeCell ref="E47:L47"/>
    <mergeCell ref="A48:D49"/>
    <mergeCell ref="E48:L49"/>
    <mergeCell ref="A50:D51"/>
    <mergeCell ref="E50:L51"/>
    <mergeCell ref="A52:D53"/>
    <mergeCell ref="E52:L53"/>
    <mergeCell ref="A54:D55"/>
    <mergeCell ref="E54:L55"/>
    <mergeCell ref="A58:L58"/>
    <mergeCell ref="A60:E60"/>
    <mergeCell ref="A73:E73"/>
    <mergeCell ref="A76:L76"/>
    <mergeCell ref="A78:D78"/>
    <mergeCell ref="B80:E80"/>
    <mergeCell ref="B81:E81"/>
    <mergeCell ref="B82:E82"/>
    <mergeCell ref="B83:E83"/>
    <mergeCell ref="B84:E84"/>
    <mergeCell ref="B85:E8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8"/>
  <sheetViews>
    <sheetView showFormulas="false" showGridLines="true" showRowColHeaders="true" showZeros="true" rightToLeft="false" tabSelected="false" showOutlineSymbols="true" defaultGridColor="true" view="normal" topLeftCell="A1" colorId="64" zoomScale="197" zoomScaleNormal="197" zoomScalePageLayoutView="100" workbookViewId="0">
      <selection pane="topLeft" activeCell="A1" activeCellId="0" sqref="A1"/>
    </sheetView>
  </sheetViews>
  <sheetFormatPr defaultColWidth="8.60546875" defaultRowHeight="15" customHeight="false" zeroHeight="false" outlineLevelRow="0" outlineLevelCol="0"/>
  <cols>
    <col collapsed="false" customWidth="true" hidden="false" outlineLevel="0" max="1" min="1" style="0" width="5.71"/>
    <col collapsed="false" customWidth="true" hidden="false" outlineLevel="0" max="2" min="2" style="0" width="15.71"/>
    <col collapsed="false" customWidth="true" hidden="false" outlineLevel="0" max="3" min="3" style="0" width="40.71"/>
    <col collapsed="false" customWidth="true" hidden="false" outlineLevel="0" max="4" min="4" style="0" width="20.71"/>
    <col collapsed="false" customWidth="true" hidden="false" outlineLevel="0" max="5" min="5" style="0" width="15.71"/>
  </cols>
  <sheetData>
    <row r="1" customFormat="false" ht="19.5" hidden="false" customHeight="true" outlineLevel="0" collapsed="false">
      <c r="A1" s="1"/>
      <c r="B1" s="1"/>
      <c r="C1" s="2" t="s">
        <v>788</v>
      </c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customFormat="false" ht="19.5" hidden="false" customHeight="true" outlineLevel="0" collapsed="false">
      <c r="A2" s="1"/>
      <c r="B2" s="1"/>
      <c r="C2" s="2"/>
      <c r="D2" s="2"/>
      <c r="E2" s="2"/>
      <c r="F2" s="3"/>
      <c r="G2" s="4" t="s">
        <v>1</v>
      </c>
      <c r="H2" s="5" t="s">
        <v>2</v>
      </c>
      <c r="I2" s="3"/>
      <c r="J2" s="3"/>
      <c r="K2" s="3"/>
      <c r="L2" s="3"/>
      <c r="M2" s="3"/>
      <c r="N2" s="3"/>
      <c r="O2" s="3"/>
      <c r="P2" s="3"/>
      <c r="Q2" s="3"/>
      <c r="R2" s="3"/>
    </row>
    <row r="3" customFormat="false" ht="19.5" hidden="false" customHeight="true" outlineLevel="0" collapsed="false">
      <c r="A3" s="1"/>
      <c r="B3" s="1"/>
      <c r="C3" s="2"/>
      <c r="D3" s="2"/>
      <c r="E3" s="2"/>
      <c r="F3" s="3"/>
      <c r="G3" s="4" t="s">
        <v>3</v>
      </c>
      <c r="H3" s="5" t="s">
        <v>4</v>
      </c>
      <c r="I3" s="3"/>
      <c r="J3" s="3"/>
      <c r="K3" s="4" t="s">
        <v>5</v>
      </c>
      <c r="L3" s="6" t="s">
        <v>6</v>
      </c>
      <c r="M3" s="3"/>
      <c r="N3" s="3"/>
      <c r="O3" s="3"/>
      <c r="P3" s="3"/>
      <c r="Q3" s="3"/>
      <c r="R3" s="3"/>
    </row>
    <row r="4" customFormat="false" ht="19.5" hidden="false" customHeight="true" outlineLevel="0" collapsed="false">
      <c r="A4" s="1"/>
      <c r="B4" s="1"/>
      <c r="C4" s="7" t="s">
        <v>7</v>
      </c>
      <c r="D4" s="7"/>
      <c r="E4" s="7"/>
      <c r="F4" s="3"/>
      <c r="G4" s="4" t="s">
        <v>8</v>
      </c>
      <c r="H4" s="5" t="s">
        <v>9</v>
      </c>
      <c r="I4" s="3"/>
      <c r="J4" s="3"/>
      <c r="K4" s="4" t="s">
        <v>10</v>
      </c>
      <c r="L4" s="6" t="s">
        <v>11</v>
      </c>
      <c r="M4" s="3"/>
      <c r="N4" s="3"/>
      <c r="O4" s="3"/>
      <c r="P4" s="3"/>
      <c r="Q4" s="3"/>
      <c r="R4" s="3"/>
    </row>
    <row r="5" customFormat="false" ht="19.5" hidden="false" customHeight="true" outlineLevel="0" collapsed="false">
      <c r="A5" s="8"/>
      <c r="B5" s="8"/>
      <c r="C5" s="7"/>
      <c r="D5" s="7"/>
      <c r="E5" s="7"/>
      <c r="F5" s="9"/>
      <c r="G5" s="10" t="s">
        <v>12</v>
      </c>
      <c r="H5" s="11" t="s">
        <v>13</v>
      </c>
      <c r="I5" s="9"/>
      <c r="J5" s="9"/>
      <c r="K5" s="10" t="s">
        <v>14</v>
      </c>
      <c r="L5" s="12" t="s">
        <v>15</v>
      </c>
      <c r="M5" s="9"/>
      <c r="N5" s="9"/>
      <c r="O5" s="9"/>
      <c r="P5" s="9"/>
      <c r="Q5" s="9"/>
      <c r="R5" s="9"/>
    </row>
    <row r="7" customFormat="false" ht="15" hidden="false" customHeight="false" outlineLevel="0" collapsed="false">
      <c r="A7" s="119" t="s">
        <v>789</v>
      </c>
      <c r="B7" s="119"/>
      <c r="C7" s="119"/>
      <c r="D7" s="119"/>
      <c r="E7" s="119"/>
      <c r="F7" s="119"/>
      <c r="G7" s="119"/>
      <c r="H7" s="119"/>
      <c r="I7" s="119"/>
      <c r="J7" s="119"/>
      <c r="K7" s="119"/>
      <c r="L7" s="119"/>
      <c r="M7" s="119"/>
      <c r="N7" s="119"/>
      <c r="O7" s="119"/>
      <c r="P7" s="119"/>
    </row>
    <row r="9" customFormat="false" ht="15" hidden="false" customHeight="false" outlineLevel="0" collapsed="false">
      <c r="A9" s="141" t="s">
        <v>790</v>
      </c>
      <c r="B9" s="141"/>
      <c r="C9" s="142" t="s">
        <v>791</v>
      </c>
      <c r="D9" s="142" t="s">
        <v>792</v>
      </c>
      <c r="E9" s="142" t="s">
        <v>793</v>
      </c>
      <c r="F9" s="141" t="s">
        <v>65</v>
      </c>
      <c r="G9" s="141" t="s">
        <v>71</v>
      </c>
      <c r="H9" s="141" t="s">
        <v>74</v>
      </c>
      <c r="I9" s="141" t="s">
        <v>75</v>
      </c>
      <c r="J9" s="141" t="s">
        <v>70</v>
      </c>
    </row>
    <row r="10" customFormat="false" ht="15" hidden="false" customHeight="false" outlineLevel="0" collapsed="false">
      <c r="A10" s="141" t="s">
        <v>794</v>
      </c>
      <c r="B10" s="143" t="s">
        <v>795</v>
      </c>
      <c r="C10" s="20" t="s">
        <v>796</v>
      </c>
      <c r="D10" s="20" t="s">
        <v>797</v>
      </c>
      <c r="E10" s="20"/>
      <c r="F10" s="20" t="n">
        <v>0.25</v>
      </c>
      <c r="G10" s="20" t="n">
        <v>0.5</v>
      </c>
      <c r="H10" s="20" t="n">
        <v>0.25</v>
      </c>
      <c r="I10" s="20" t="n">
        <v>0.25</v>
      </c>
      <c r="J10" s="20" t="n">
        <v>0.25</v>
      </c>
    </row>
    <row r="11" customFormat="false" ht="15" hidden="false" customHeight="false" outlineLevel="0" collapsed="false">
      <c r="A11" s="141" t="s">
        <v>798</v>
      </c>
      <c r="B11" s="143" t="s">
        <v>799</v>
      </c>
      <c r="C11" s="20" t="s">
        <v>800</v>
      </c>
      <c r="D11" s="20" t="s">
        <v>797</v>
      </c>
      <c r="E11" s="20"/>
      <c r="F11" s="20" t="n">
        <v>0.5</v>
      </c>
      <c r="G11" s="20" t="n">
        <v>0.75</v>
      </c>
      <c r="H11" s="20" t="n">
        <v>0.5</v>
      </c>
      <c r="I11" s="20" t="n">
        <v>0.5</v>
      </c>
      <c r="J11" s="20" t="n">
        <v>0.5</v>
      </c>
    </row>
    <row r="12" customFormat="false" ht="15" hidden="false" customHeight="false" outlineLevel="0" collapsed="false">
      <c r="A12" s="141" t="s">
        <v>801</v>
      </c>
      <c r="B12" s="143" t="s">
        <v>802</v>
      </c>
      <c r="C12" s="20" t="s">
        <v>803</v>
      </c>
      <c r="D12" s="20" t="s">
        <v>797</v>
      </c>
      <c r="E12" s="20"/>
      <c r="F12" s="20" t="n">
        <v>0.5</v>
      </c>
      <c r="G12" s="20" t="n">
        <v>0.5</v>
      </c>
      <c r="H12" s="20" t="n">
        <v>0.5</v>
      </c>
      <c r="I12" s="20" t="n">
        <v>0.5</v>
      </c>
      <c r="J12" s="20" t="n">
        <v>0.5</v>
      </c>
    </row>
    <row r="13" customFormat="false" ht="15" hidden="false" customHeight="false" outlineLevel="0" collapsed="false">
      <c r="A13" s="141" t="s">
        <v>804</v>
      </c>
      <c r="B13" s="143" t="s">
        <v>805</v>
      </c>
      <c r="C13" s="20" t="s">
        <v>806</v>
      </c>
      <c r="D13" s="20" t="s">
        <v>797</v>
      </c>
      <c r="E13" s="20"/>
      <c r="F13" s="20" t="n">
        <v>0.25</v>
      </c>
      <c r="G13" s="20" t="n">
        <v>0.25</v>
      </c>
      <c r="H13" s="20" t="n">
        <v>0.25</v>
      </c>
      <c r="I13" s="20" t="n">
        <v>0.25</v>
      </c>
      <c r="J13" s="20" t="n">
        <v>0.25</v>
      </c>
    </row>
    <row r="14" customFormat="false" ht="15" hidden="false" customHeight="false" outlineLevel="0" collapsed="false">
      <c r="A14" s="141" t="s">
        <v>807</v>
      </c>
      <c r="B14" s="143" t="s">
        <v>808</v>
      </c>
      <c r="C14" s="20" t="s">
        <v>809</v>
      </c>
      <c r="D14" s="20" t="s">
        <v>796</v>
      </c>
      <c r="E14" s="20"/>
      <c r="F14" s="20" t="n">
        <v>0.775</v>
      </c>
      <c r="G14" s="20" t="n">
        <v>0.85</v>
      </c>
      <c r="H14" s="20" t="n">
        <v>0.775</v>
      </c>
      <c r="I14" s="20" t="n">
        <v>0.775</v>
      </c>
      <c r="J14" s="20" t="n">
        <v>0.775</v>
      </c>
    </row>
    <row r="15" customFormat="false" ht="15" hidden="false" customHeight="false" outlineLevel="0" collapsed="false">
      <c r="A15" s="141" t="s">
        <v>810</v>
      </c>
      <c r="B15" s="143" t="s">
        <v>811</v>
      </c>
      <c r="C15" s="20" t="s">
        <v>133</v>
      </c>
      <c r="D15" s="20" t="s">
        <v>800</v>
      </c>
      <c r="E15" s="20"/>
      <c r="F15" s="20" t="n">
        <v>0.85</v>
      </c>
      <c r="G15" s="20" t="n">
        <v>0.925</v>
      </c>
      <c r="H15" s="20" t="n">
        <v>0.85</v>
      </c>
      <c r="I15" s="20" t="n">
        <v>0.85</v>
      </c>
      <c r="J15" s="20" t="n">
        <v>0.85</v>
      </c>
    </row>
    <row r="16" customFormat="false" ht="15" hidden="false" customHeight="false" outlineLevel="0" collapsed="false">
      <c r="A16" s="141" t="s">
        <v>812</v>
      </c>
      <c r="B16" s="143" t="s">
        <v>813</v>
      </c>
      <c r="C16" s="20" t="s">
        <v>139</v>
      </c>
      <c r="D16" s="20" t="s">
        <v>803</v>
      </c>
      <c r="E16" s="20"/>
      <c r="F16" s="20" t="n">
        <v>0.5</v>
      </c>
      <c r="G16" s="20" t="n">
        <v>0.5</v>
      </c>
      <c r="H16" s="20" t="n">
        <v>0.85</v>
      </c>
      <c r="I16" s="20" t="n">
        <v>0.85</v>
      </c>
      <c r="J16" s="20" t="n">
        <v>0.85</v>
      </c>
    </row>
    <row r="17" customFormat="false" ht="15" hidden="false" customHeight="false" outlineLevel="0" collapsed="false">
      <c r="A17" s="141" t="s">
        <v>814</v>
      </c>
      <c r="B17" s="143" t="s">
        <v>815</v>
      </c>
      <c r="C17" s="20" t="s">
        <v>816</v>
      </c>
      <c r="D17" s="20" t="s">
        <v>806</v>
      </c>
      <c r="E17" s="20"/>
      <c r="F17" s="20" t="n">
        <v>0.775</v>
      </c>
      <c r="G17" s="20" t="n">
        <v>0.075</v>
      </c>
      <c r="H17" s="20" t="n">
        <v>0.775</v>
      </c>
      <c r="I17" s="20" t="n">
        <v>0.775</v>
      </c>
      <c r="J17" s="20" t="n">
        <v>0.775</v>
      </c>
    </row>
    <row r="18" customFormat="false" ht="15" hidden="false" customHeight="false" outlineLevel="0" collapsed="false">
      <c r="A18" s="141" t="s">
        <v>817</v>
      </c>
      <c r="B18" s="143" t="s">
        <v>818</v>
      </c>
      <c r="C18" s="20" t="s">
        <v>819</v>
      </c>
      <c r="D18" s="20" t="s">
        <v>97</v>
      </c>
      <c r="E18" s="20"/>
      <c r="F18" s="20" t="n">
        <v>0.775</v>
      </c>
      <c r="G18" s="20" t="n">
        <v>0.85</v>
      </c>
      <c r="H18" s="20" t="n">
        <v>0.775</v>
      </c>
      <c r="I18" s="20" t="n">
        <v>0.775</v>
      </c>
      <c r="J18" s="20" t="n">
        <v>0.775</v>
      </c>
    </row>
    <row r="19" customFormat="false" ht="15" hidden="false" customHeight="false" outlineLevel="0" collapsed="false">
      <c r="A19" s="141" t="s">
        <v>820</v>
      </c>
      <c r="B19" s="143" t="s">
        <v>821</v>
      </c>
      <c r="C19" s="20" t="s">
        <v>819</v>
      </c>
      <c r="D19" s="20" t="s">
        <v>112</v>
      </c>
      <c r="E19" s="20"/>
      <c r="F19" s="20" t="n">
        <v>0.5</v>
      </c>
      <c r="G19" s="20" t="n">
        <v>0.691666666666667</v>
      </c>
      <c r="H19" s="20" t="n">
        <v>0.5</v>
      </c>
      <c r="I19" s="20" t="n">
        <v>0.5</v>
      </c>
      <c r="J19" s="20" t="n">
        <v>0.5</v>
      </c>
    </row>
    <row r="20" customFormat="false" ht="15" hidden="false" customHeight="false" outlineLevel="0" collapsed="false">
      <c r="A20" s="141" t="s">
        <v>822</v>
      </c>
      <c r="B20" s="143" t="s">
        <v>823</v>
      </c>
      <c r="C20" s="20" t="s">
        <v>824</v>
      </c>
      <c r="D20" s="20" t="s">
        <v>119</v>
      </c>
      <c r="E20" s="20"/>
      <c r="F20" s="20"/>
      <c r="G20" s="20"/>
      <c r="H20" s="20"/>
      <c r="I20" s="20"/>
      <c r="J20" s="20"/>
    </row>
    <row r="21" customFormat="false" ht="15" hidden="false" customHeight="false" outlineLevel="0" collapsed="false">
      <c r="A21" s="141" t="s">
        <v>825</v>
      </c>
      <c r="B21" s="143" t="s">
        <v>826</v>
      </c>
      <c r="C21" s="20" t="s">
        <v>824</v>
      </c>
      <c r="D21" s="20" t="s">
        <v>99</v>
      </c>
      <c r="E21" s="20"/>
      <c r="F21" s="20"/>
      <c r="G21" s="20"/>
      <c r="H21" s="20"/>
      <c r="I21" s="20"/>
      <c r="J21" s="20"/>
    </row>
    <row r="22" customFormat="false" ht="15" hidden="false" customHeight="false" outlineLevel="0" collapsed="false">
      <c r="A22" s="141" t="s">
        <v>827</v>
      </c>
      <c r="B22" s="143" t="s">
        <v>828</v>
      </c>
      <c r="C22" s="20" t="s">
        <v>829</v>
      </c>
      <c r="D22" s="20" t="s">
        <v>121</v>
      </c>
      <c r="E22" s="20"/>
      <c r="F22" s="20" t="n">
        <v>0.5</v>
      </c>
      <c r="G22" s="20" t="n">
        <v>0.691666666666667</v>
      </c>
      <c r="H22" s="20" t="n">
        <v>0.5</v>
      </c>
      <c r="I22" s="20" t="n">
        <v>0.5</v>
      </c>
      <c r="J22" s="20" t="n">
        <v>0.5</v>
      </c>
    </row>
    <row r="23" customFormat="false" ht="15" hidden="false" customHeight="false" outlineLevel="0" collapsed="false">
      <c r="A23" s="141" t="s">
        <v>830</v>
      </c>
      <c r="B23" s="143" t="s">
        <v>831</v>
      </c>
      <c r="C23" s="20" t="s">
        <v>829</v>
      </c>
      <c r="D23" s="20" t="s">
        <v>800</v>
      </c>
      <c r="E23" s="20"/>
      <c r="F23" s="20" t="n">
        <v>0.775</v>
      </c>
      <c r="G23" s="20" t="n">
        <v>0.85</v>
      </c>
      <c r="H23" s="20" t="n">
        <v>0.775</v>
      </c>
      <c r="I23" s="20" t="n">
        <v>0.775</v>
      </c>
      <c r="J23" s="20" t="n">
        <v>0.775</v>
      </c>
    </row>
    <row r="24" customFormat="false" ht="15" hidden="false" customHeight="false" outlineLevel="0" collapsed="false">
      <c r="A24" s="141" t="s">
        <v>832</v>
      </c>
      <c r="B24" s="143" t="s">
        <v>833</v>
      </c>
      <c r="C24" s="20" t="s">
        <v>834</v>
      </c>
      <c r="D24" s="20" t="s">
        <v>803</v>
      </c>
      <c r="E24" s="20"/>
      <c r="F24" s="20"/>
      <c r="G24" s="20"/>
      <c r="H24" s="20"/>
      <c r="I24" s="20"/>
      <c r="J24" s="20"/>
    </row>
    <row r="25" customFormat="false" ht="15" hidden="false" customHeight="false" outlineLevel="0" collapsed="false">
      <c r="A25" s="141" t="s">
        <v>835</v>
      </c>
      <c r="B25" s="143" t="s">
        <v>836</v>
      </c>
      <c r="C25" s="20" t="s">
        <v>834</v>
      </c>
      <c r="D25" s="20" t="s">
        <v>125</v>
      </c>
      <c r="E25" s="20"/>
      <c r="F25" s="20"/>
      <c r="G25" s="20"/>
      <c r="H25" s="20"/>
      <c r="I25" s="20"/>
      <c r="J25" s="20"/>
    </row>
    <row r="26" customFormat="false" ht="15" hidden="false" customHeight="false" outlineLevel="0" collapsed="false">
      <c r="A26" s="141" t="s">
        <v>837</v>
      </c>
      <c r="B26" s="143" t="s">
        <v>838</v>
      </c>
      <c r="C26" s="20" t="s">
        <v>839</v>
      </c>
      <c r="D26" s="20" t="s">
        <v>796</v>
      </c>
      <c r="E26" s="20"/>
      <c r="F26" s="20"/>
      <c r="G26" s="20"/>
      <c r="H26" s="20"/>
      <c r="I26" s="20"/>
      <c r="J26" s="20"/>
    </row>
    <row r="27" customFormat="false" ht="15" hidden="false" customHeight="false" outlineLevel="0" collapsed="false">
      <c r="A27" s="141" t="s">
        <v>840</v>
      </c>
      <c r="B27" s="143" t="s">
        <v>841</v>
      </c>
      <c r="C27" s="20" t="s">
        <v>842</v>
      </c>
      <c r="D27" s="20" t="s">
        <v>806</v>
      </c>
      <c r="E27" s="20"/>
      <c r="F27" s="20"/>
      <c r="G27" s="20"/>
      <c r="H27" s="20"/>
      <c r="I27" s="20"/>
      <c r="J27" s="20"/>
    </row>
    <row r="28" customFormat="false" ht="15" hidden="false" customHeight="false" outlineLevel="0" collapsed="false">
      <c r="A28" s="141" t="s">
        <v>843</v>
      </c>
      <c r="B28" s="143" t="s">
        <v>844</v>
      </c>
      <c r="C28" s="20" t="s">
        <v>845</v>
      </c>
      <c r="D28" s="20"/>
      <c r="E28" s="20"/>
      <c r="F28" s="20" t="n">
        <v>0.075</v>
      </c>
      <c r="G28" s="20" t="n">
        <v>0.15</v>
      </c>
      <c r="H28" s="20" t="n">
        <v>0.075</v>
      </c>
      <c r="I28" s="20" t="n">
        <v>0.075</v>
      </c>
      <c r="J28" s="20" t="n">
        <v>0.075</v>
      </c>
    </row>
    <row r="29" customFormat="false" ht="15" hidden="false" customHeight="false" outlineLevel="0" collapsed="false">
      <c r="A29" s="141" t="s">
        <v>846</v>
      </c>
      <c r="B29" s="143" t="s">
        <v>847</v>
      </c>
      <c r="C29" s="20" t="s">
        <v>848</v>
      </c>
      <c r="D29" s="20" t="s">
        <v>800</v>
      </c>
      <c r="E29" s="20"/>
      <c r="F29" s="20" t="n">
        <v>0.15</v>
      </c>
      <c r="G29" s="20" t="n">
        <v>0.225</v>
      </c>
      <c r="H29" s="20" t="n">
        <v>0.15</v>
      </c>
      <c r="I29" s="20" t="n">
        <v>0.15</v>
      </c>
      <c r="J29" s="20" t="n">
        <v>0.15</v>
      </c>
    </row>
    <row r="30" customFormat="false" ht="15" hidden="false" customHeight="false" outlineLevel="0" collapsed="false">
      <c r="A30" s="141" t="s">
        <v>849</v>
      </c>
      <c r="B30" s="143" t="s">
        <v>850</v>
      </c>
      <c r="C30" s="20" t="s">
        <v>851</v>
      </c>
      <c r="D30" s="20" t="s">
        <v>803</v>
      </c>
      <c r="E30" s="20"/>
      <c r="F30" s="20" t="n">
        <v>0.15</v>
      </c>
      <c r="G30" s="20" t="n">
        <v>0.15</v>
      </c>
      <c r="H30" s="20" t="n">
        <v>0.15</v>
      </c>
      <c r="I30" s="20" t="n">
        <v>0.15</v>
      </c>
      <c r="J30" s="20" t="n">
        <v>0.15</v>
      </c>
    </row>
    <row r="31" customFormat="false" ht="15" hidden="false" customHeight="false" outlineLevel="0" collapsed="false">
      <c r="A31" s="141" t="s">
        <v>852</v>
      </c>
      <c r="B31" s="143" t="s">
        <v>853</v>
      </c>
      <c r="C31" s="20" t="s">
        <v>854</v>
      </c>
      <c r="D31" s="20"/>
      <c r="E31" s="20"/>
      <c r="F31" s="20" t="n">
        <v>0.075</v>
      </c>
      <c r="G31" s="20" t="n">
        <v>0.075</v>
      </c>
      <c r="H31" s="20" t="n">
        <v>0.075</v>
      </c>
      <c r="I31" s="20" t="n">
        <v>0.075</v>
      </c>
      <c r="J31" s="20" t="n">
        <v>0.075</v>
      </c>
    </row>
    <row r="32" customFormat="false" ht="15" hidden="false" customHeight="false" outlineLevel="0" collapsed="false">
      <c r="A32" s="141" t="s">
        <v>855</v>
      </c>
      <c r="B32" s="143" t="s">
        <v>856</v>
      </c>
      <c r="C32" s="20" t="s">
        <v>857</v>
      </c>
      <c r="D32" s="20" t="s">
        <v>857</v>
      </c>
      <c r="E32" s="20"/>
      <c r="F32" s="20" t="n">
        <v>0.25</v>
      </c>
      <c r="G32" s="20" t="n">
        <v>0.5</v>
      </c>
      <c r="H32" s="20" t="n">
        <v>0</v>
      </c>
      <c r="I32" s="20" t="n">
        <v>-0.25</v>
      </c>
      <c r="J32" s="20" t="n">
        <v>-0.25</v>
      </c>
    </row>
    <row r="33" customFormat="false" ht="15" hidden="false" customHeight="false" outlineLevel="0" collapsed="false">
      <c r="A33" s="141" t="s">
        <v>858</v>
      </c>
      <c r="B33" s="143" t="s">
        <v>859</v>
      </c>
      <c r="C33" s="20" t="s">
        <v>860</v>
      </c>
      <c r="D33" s="20"/>
      <c r="E33" s="20"/>
      <c r="F33" s="20"/>
      <c r="G33" s="20"/>
      <c r="H33" s="20"/>
      <c r="I33" s="20"/>
      <c r="J33" s="20"/>
    </row>
    <row r="34" customFormat="false" ht="15" hidden="false" customHeight="false" outlineLevel="0" collapsed="false">
      <c r="A34" s="141" t="s">
        <v>861</v>
      </c>
      <c r="B34" s="143" t="s">
        <v>862</v>
      </c>
      <c r="C34" s="20" t="s">
        <v>860</v>
      </c>
      <c r="D34" s="20"/>
      <c r="E34" s="20"/>
      <c r="F34" s="20"/>
      <c r="G34" s="20"/>
      <c r="H34" s="20"/>
      <c r="I34" s="20"/>
      <c r="J34" s="20"/>
    </row>
    <row r="35" customFormat="false" ht="15" hidden="false" customHeight="false" outlineLevel="0" collapsed="false">
      <c r="A35" s="141" t="s">
        <v>863</v>
      </c>
      <c r="B35" s="143" t="s">
        <v>864</v>
      </c>
      <c r="C35" s="20" t="s">
        <v>865</v>
      </c>
      <c r="D35" s="20"/>
      <c r="E35" s="20"/>
      <c r="F35" s="20" t="n">
        <v>0</v>
      </c>
      <c r="G35" s="20" t="n">
        <v>0</v>
      </c>
      <c r="H35" s="20" t="n">
        <v>0</v>
      </c>
      <c r="I35" s="20" t="n">
        <v>0</v>
      </c>
      <c r="J35" s="20" t="n">
        <v>0</v>
      </c>
    </row>
    <row r="36" customFormat="false" ht="15" hidden="false" customHeight="false" outlineLevel="0" collapsed="false">
      <c r="A36" s="141" t="s">
        <v>866</v>
      </c>
      <c r="B36" s="143" t="s">
        <v>867</v>
      </c>
      <c r="C36" s="20" t="s">
        <v>865</v>
      </c>
      <c r="D36" s="20"/>
      <c r="E36" s="20"/>
      <c r="F36" s="20" t="n">
        <v>0</v>
      </c>
      <c r="G36" s="20" t="n">
        <v>0</v>
      </c>
      <c r="H36" s="20" t="n">
        <v>0</v>
      </c>
      <c r="I36" s="20" t="n">
        <v>0</v>
      </c>
      <c r="J36" s="20" t="n">
        <v>0</v>
      </c>
    </row>
    <row r="37" customFormat="false" ht="15" hidden="false" customHeight="false" outlineLevel="0" collapsed="false">
      <c r="A37" s="141" t="s">
        <v>868</v>
      </c>
      <c r="B37" s="143" t="s">
        <v>869</v>
      </c>
      <c r="C37" s="20" t="s">
        <v>869</v>
      </c>
      <c r="D37" s="20"/>
      <c r="E37" s="20"/>
      <c r="F37" s="20"/>
      <c r="G37" s="20"/>
      <c r="H37" s="20"/>
      <c r="I37" s="20"/>
      <c r="J37" s="20"/>
    </row>
    <row r="38" customFormat="false" ht="15" hidden="false" customHeight="false" outlineLevel="0" collapsed="false">
      <c r="A38" s="141" t="s">
        <v>870</v>
      </c>
      <c r="B38" s="143" t="s">
        <v>871</v>
      </c>
      <c r="C38" s="20" t="s">
        <v>871</v>
      </c>
      <c r="D38" s="20"/>
      <c r="E38" s="20"/>
      <c r="F38" s="20"/>
      <c r="G38" s="20"/>
      <c r="H38" s="20"/>
      <c r="I38" s="20"/>
      <c r="J38" s="20"/>
    </row>
    <row r="39" customFormat="false" ht="15" hidden="false" customHeight="false" outlineLevel="0" collapsed="false">
      <c r="A39" s="141" t="s">
        <v>872</v>
      </c>
      <c r="B39" s="143" t="s">
        <v>873</v>
      </c>
      <c r="C39" s="20" t="s">
        <v>873</v>
      </c>
      <c r="D39" s="20"/>
      <c r="E39" s="20"/>
      <c r="F39" s="20"/>
      <c r="G39" s="20"/>
      <c r="H39" s="20"/>
      <c r="I39" s="20"/>
      <c r="J39" s="20"/>
    </row>
    <row r="40" customFormat="false" ht="15" hidden="false" customHeight="false" outlineLevel="0" collapsed="false">
      <c r="A40" s="141" t="s">
        <v>874</v>
      </c>
      <c r="B40" s="143" t="s">
        <v>875</v>
      </c>
      <c r="C40" s="20" t="s">
        <v>875</v>
      </c>
      <c r="D40" s="20"/>
      <c r="E40" s="20"/>
      <c r="F40" s="20"/>
      <c r="G40" s="20"/>
      <c r="H40" s="20"/>
      <c r="I40" s="20"/>
      <c r="J40" s="20"/>
    </row>
    <row r="43" customFormat="false" ht="15" hidden="false" customHeight="false" outlineLevel="0" collapsed="false">
      <c r="A43" s="119" t="s">
        <v>876</v>
      </c>
      <c r="B43" s="119"/>
      <c r="C43" s="119"/>
      <c r="D43" s="119"/>
      <c r="E43" s="119"/>
    </row>
    <row r="44" customFormat="false" ht="15" hidden="false" customHeight="false" outlineLevel="0" collapsed="false">
      <c r="A44" s="144" t="s">
        <v>877</v>
      </c>
      <c r="B44" s="144" t="s">
        <v>878</v>
      </c>
      <c r="C44" s="144" t="s">
        <v>879</v>
      </c>
      <c r="D44" s="144" t="s">
        <v>880</v>
      </c>
      <c r="E44" s="144" t="s">
        <v>881</v>
      </c>
    </row>
    <row r="47" customFormat="false" ht="15" hidden="false" customHeight="false" outlineLevel="0" collapsed="false">
      <c r="A47" s="119" t="s">
        <v>882</v>
      </c>
      <c r="B47" s="119"/>
      <c r="C47" s="119"/>
      <c r="D47" s="119"/>
      <c r="E47" s="119"/>
      <c r="F47" s="119"/>
      <c r="G47" s="119"/>
    </row>
    <row r="48" customFormat="false" ht="15" hidden="false" customHeight="false" outlineLevel="0" collapsed="false">
      <c r="A48" s="144" t="s">
        <v>877</v>
      </c>
      <c r="B48" s="144" t="s">
        <v>883</v>
      </c>
      <c r="C48" s="144" t="s">
        <v>884</v>
      </c>
      <c r="D48" s="144" t="s">
        <v>885</v>
      </c>
      <c r="E48" s="144" t="s">
        <v>886</v>
      </c>
      <c r="F48" s="144" t="s">
        <v>887</v>
      </c>
      <c r="G48" s="144" t="s">
        <v>888</v>
      </c>
    </row>
  </sheetData>
  <mergeCells count="6">
    <mergeCell ref="C1:E3"/>
    <mergeCell ref="C4:E5"/>
    <mergeCell ref="A7:P7"/>
    <mergeCell ref="A9:B9"/>
    <mergeCell ref="A43:E43"/>
    <mergeCell ref="A47:G4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26"/>
  <sheetViews>
    <sheetView showFormulas="false" showGridLines="true" showRowColHeaders="true" showZeros="true" rightToLeft="false" tabSelected="false" showOutlineSymbols="true" defaultGridColor="true" view="normal" topLeftCell="A1" colorId="64" zoomScale="197" zoomScaleNormal="197" zoomScalePageLayoutView="100" workbookViewId="0">
      <selection pane="topLeft" activeCell="A1" activeCellId="0" sqref="A1"/>
    </sheetView>
  </sheetViews>
  <sheetFormatPr defaultColWidth="8.60546875" defaultRowHeight="15" customHeight="false" zeroHeight="false" outlineLevelRow="0" outlineLevelCol="0"/>
  <sheetData>
    <row r="1" customFormat="false" ht="19.5" hidden="false" customHeight="true" outlineLevel="0" collapsed="false">
      <c r="A1" s="1"/>
      <c r="B1" s="1"/>
      <c r="C1" s="2" t="s">
        <v>889</v>
      </c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customFormat="false" ht="19.5" hidden="false" customHeight="true" outlineLevel="0" collapsed="false">
      <c r="A2" s="1"/>
      <c r="B2" s="1"/>
      <c r="C2" s="2"/>
      <c r="D2" s="2"/>
      <c r="E2" s="2"/>
      <c r="F2" s="3"/>
      <c r="G2" s="4" t="s">
        <v>1</v>
      </c>
      <c r="H2" s="5" t="s">
        <v>2</v>
      </c>
      <c r="I2" s="3"/>
      <c r="J2" s="3"/>
      <c r="K2" s="3"/>
      <c r="L2" s="3"/>
      <c r="M2" s="3"/>
      <c r="N2" s="3"/>
      <c r="O2" s="3"/>
      <c r="P2" s="3"/>
      <c r="Q2" s="3"/>
      <c r="R2" s="3"/>
    </row>
    <row r="3" customFormat="false" ht="19.5" hidden="false" customHeight="true" outlineLevel="0" collapsed="false">
      <c r="A3" s="1"/>
      <c r="B3" s="1"/>
      <c r="C3" s="2"/>
      <c r="D3" s="2"/>
      <c r="E3" s="2"/>
      <c r="F3" s="3"/>
      <c r="G3" s="4" t="s">
        <v>3</v>
      </c>
      <c r="H3" s="5" t="s">
        <v>4</v>
      </c>
      <c r="I3" s="3"/>
      <c r="J3" s="3"/>
      <c r="K3" s="4" t="s">
        <v>5</v>
      </c>
      <c r="L3" s="6" t="s">
        <v>6</v>
      </c>
      <c r="M3" s="3"/>
      <c r="N3" s="3"/>
      <c r="O3" s="3"/>
      <c r="P3" s="3"/>
      <c r="Q3" s="3"/>
      <c r="R3" s="3"/>
    </row>
    <row r="4" customFormat="false" ht="19.5" hidden="false" customHeight="true" outlineLevel="0" collapsed="false">
      <c r="A4" s="1"/>
      <c r="B4" s="1"/>
      <c r="C4" s="7" t="s">
        <v>7</v>
      </c>
      <c r="D4" s="7"/>
      <c r="E4" s="7"/>
      <c r="F4" s="3"/>
      <c r="G4" s="4" t="s">
        <v>8</v>
      </c>
      <c r="H4" s="5" t="s">
        <v>9</v>
      </c>
      <c r="I4" s="3"/>
      <c r="J4" s="3"/>
      <c r="K4" s="4" t="s">
        <v>10</v>
      </c>
      <c r="L4" s="6" t="s">
        <v>11</v>
      </c>
      <c r="M4" s="3"/>
      <c r="N4" s="3"/>
      <c r="O4" s="3"/>
      <c r="P4" s="3"/>
      <c r="Q4" s="3"/>
      <c r="R4" s="3"/>
    </row>
    <row r="5" customFormat="false" ht="19.5" hidden="false" customHeight="true" outlineLevel="0" collapsed="false">
      <c r="A5" s="8"/>
      <c r="B5" s="8"/>
      <c r="C5" s="7"/>
      <c r="D5" s="7"/>
      <c r="E5" s="7"/>
      <c r="F5" s="9"/>
      <c r="G5" s="10" t="s">
        <v>12</v>
      </c>
      <c r="H5" s="11" t="s">
        <v>13</v>
      </c>
      <c r="I5" s="9"/>
      <c r="J5" s="9"/>
      <c r="K5" s="10" t="s">
        <v>14</v>
      </c>
      <c r="L5" s="12" t="s">
        <v>15</v>
      </c>
      <c r="M5" s="9"/>
      <c r="N5" s="9"/>
      <c r="O5" s="9"/>
      <c r="P5" s="9"/>
      <c r="Q5" s="9"/>
      <c r="R5" s="9"/>
    </row>
    <row r="7" customFormat="false" ht="15" hidden="false" customHeight="false" outlineLevel="0" collapsed="false">
      <c r="A7" s="119" t="s">
        <v>890</v>
      </c>
      <c r="B7" s="119"/>
      <c r="C7" s="119"/>
      <c r="D7" s="119"/>
      <c r="E7" s="119"/>
      <c r="F7" s="119"/>
      <c r="G7" s="119"/>
      <c r="H7" s="119"/>
      <c r="I7" s="119"/>
      <c r="J7" s="119"/>
      <c r="K7" s="119"/>
      <c r="L7" s="119"/>
      <c r="M7" s="119"/>
      <c r="N7" s="119"/>
      <c r="O7" s="119"/>
      <c r="P7" s="119"/>
      <c r="R7" s="119" t="s">
        <v>891</v>
      </c>
      <c r="S7" s="119"/>
      <c r="T7" s="119"/>
      <c r="U7" s="119"/>
      <c r="V7" s="119"/>
      <c r="W7" s="119"/>
    </row>
    <row r="9" customFormat="false" ht="15" hidden="false" customHeight="false" outlineLevel="0" collapsed="false">
      <c r="A9" s="18" t="s">
        <v>80</v>
      </c>
      <c r="B9" s="145" t="s">
        <v>892</v>
      </c>
      <c r="C9" s="145"/>
      <c r="D9" s="145"/>
      <c r="E9" s="145" t="s">
        <v>893</v>
      </c>
      <c r="F9" s="145"/>
      <c r="G9" s="145"/>
      <c r="H9" s="145" t="s">
        <v>894</v>
      </c>
      <c r="I9" s="145"/>
      <c r="J9" s="145"/>
      <c r="K9" s="145" t="s">
        <v>895</v>
      </c>
      <c r="L9" s="145"/>
      <c r="M9" s="145"/>
      <c r="N9" s="145" t="s">
        <v>896</v>
      </c>
      <c r="O9" s="145"/>
      <c r="P9" s="145"/>
      <c r="R9" s="18" t="s">
        <v>724</v>
      </c>
      <c r="S9" s="102" t="s">
        <v>65</v>
      </c>
      <c r="T9" s="102" t="s">
        <v>71</v>
      </c>
      <c r="U9" s="102" t="s">
        <v>74</v>
      </c>
      <c r="V9" s="102" t="s">
        <v>75</v>
      </c>
      <c r="W9" s="102" t="s">
        <v>70</v>
      </c>
    </row>
    <row r="10" customFormat="false" ht="15" hidden="false" customHeight="false" outlineLevel="0" collapsed="false">
      <c r="A10" s="18"/>
      <c r="B10" s="102" t="s">
        <v>897</v>
      </c>
      <c r="C10" s="102" t="s">
        <v>898</v>
      </c>
      <c r="D10" s="102" t="s">
        <v>899</v>
      </c>
      <c r="E10" s="102" t="s">
        <v>897</v>
      </c>
      <c r="F10" s="102" t="s">
        <v>898</v>
      </c>
      <c r="G10" s="102" t="s">
        <v>899</v>
      </c>
      <c r="H10" s="102" t="s">
        <v>897</v>
      </c>
      <c r="I10" s="102" t="s">
        <v>898</v>
      </c>
      <c r="J10" s="102" t="s">
        <v>899</v>
      </c>
      <c r="K10" s="102" t="s">
        <v>897</v>
      </c>
      <c r="L10" s="102" t="s">
        <v>898</v>
      </c>
      <c r="M10" s="102" t="s">
        <v>899</v>
      </c>
      <c r="N10" s="102" t="s">
        <v>897</v>
      </c>
      <c r="O10" s="102" t="s">
        <v>898</v>
      </c>
      <c r="P10" s="102" t="s">
        <v>899</v>
      </c>
      <c r="R10" s="18" t="s">
        <v>65</v>
      </c>
      <c r="S10" s="43" t="n">
        <v>15.2</v>
      </c>
      <c r="T10" s="43" t="n">
        <v>1.98</v>
      </c>
      <c r="U10" s="43" t="n">
        <v>0</v>
      </c>
      <c r="V10" s="43" t="n">
        <v>-4.7</v>
      </c>
      <c r="W10" s="43" t="n">
        <v>-12.82</v>
      </c>
    </row>
    <row r="11" customFormat="false" ht="15" hidden="false" customHeight="false" outlineLevel="0" collapsed="false">
      <c r="A11" s="18" t="s">
        <v>65</v>
      </c>
      <c r="B11" s="43" t="n">
        <v>-0.442420382192111</v>
      </c>
      <c r="C11" s="43" t="n">
        <v>9.14227142403331</v>
      </c>
      <c r="D11" s="43" t="n">
        <v>44.9620543791694</v>
      </c>
      <c r="E11" s="43" t="n">
        <v>0.472714055987069</v>
      </c>
      <c r="F11" s="43" t="n">
        <v>34.9275865768129</v>
      </c>
      <c r="G11" s="43" t="n">
        <v>51.3301963489002</v>
      </c>
      <c r="H11" s="43" t="n">
        <v>0.0259299889058748</v>
      </c>
      <c r="I11" s="43" t="n">
        <v>0.272673103003822</v>
      </c>
      <c r="J11" s="43" t="n">
        <v>0.154447383489271</v>
      </c>
      <c r="K11" s="43" t="n">
        <v>-0.124373572203914</v>
      </c>
      <c r="L11" s="43" t="n">
        <v>34.2409932707016</v>
      </c>
      <c r="M11" s="43" t="n">
        <v>3.5533019121633</v>
      </c>
      <c r="R11" s="18" t="s">
        <v>71</v>
      </c>
      <c r="S11" s="43" t="n">
        <v>1.98</v>
      </c>
      <c r="T11" s="43" t="n">
        <v>0</v>
      </c>
      <c r="U11" s="43" t="n">
        <v>15.2</v>
      </c>
      <c r="V11" s="43" t="n">
        <v>-11.7</v>
      </c>
      <c r="W11" s="43" t="n">
        <v>-4.7</v>
      </c>
    </row>
    <row r="12" customFormat="false" ht="15" hidden="false" customHeight="false" outlineLevel="0" collapsed="false">
      <c r="A12" s="18" t="s">
        <v>71</v>
      </c>
      <c r="B12" s="43" t="n">
        <v>-0.501507253789364</v>
      </c>
      <c r="C12" s="43" t="n">
        <v>11.953318800881</v>
      </c>
      <c r="D12" s="43" t="n">
        <v>59.4140963435873</v>
      </c>
      <c r="E12" s="43" t="n">
        <v>-0.19125487429724</v>
      </c>
      <c r="F12" s="43" t="n">
        <v>5.81763911359587</v>
      </c>
      <c r="G12" s="43" t="n">
        <v>8.64092195809393</v>
      </c>
      <c r="H12" s="43" t="n">
        <v>-0.364292868338331</v>
      </c>
      <c r="I12" s="43" t="n">
        <v>54.7632461867811</v>
      </c>
      <c r="J12" s="43" t="n">
        <v>31.3499170890892</v>
      </c>
      <c r="K12" s="43" t="n">
        <v>0.0501896930956842</v>
      </c>
      <c r="L12" s="43" t="n">
        <v>5.67373992900701</v>
      </c>
      <c r="M12" s="43" t="n">
        <v>0.595064631494937</v>
      </c>
      <c r="R12" s="18" t="s">
        <v>74</v>
      </c>
      <c r="S12" s="43" t="n">
        <v>0</v>
      </c>
      <c r="T12" s="43" t="n">
        <v>15.2</v>
      </c>
      <c r="U12" s="43" t="n">
        <v>1.98</v>
      </c>
      <c r="V12" s="43" t="n">
        <v>-12.82</v>
      </c>
      <c r="W12" s="43" t="n">
        <v>-7.96</v>
      </c>
    </row>
    <row r="13" customFormat="false" ht="15" hidden="false" customHeight="false" outlineLevel="0" collapsed="false">
      <c r="A13" s="18" t="s">
        <v>74</v>
      </c>
      <c r="B13" s="43" t="n">
        <v>-0.589532940570547</v>
      </c>
      <c r="C13" s="43" t="n">
        <v>15.4044270541699</v>
      </c>
      <c r="D13" s="43" t="n">
        <v>68.0594975773861</v>
      </c>
      <c r="E13" s="43" t="n">
        <v>-0.202312356106454</v>
      </c>
      <c r="F13" s="43" t="n">
        <v>6.07102331073186</v>
      </c>
      <c r="G13" s="43" t="n">
        <v>8.01525606186634</v>
      </c>
      <c r="H13" s="43" t="n">
        <v>0.340084506536493</v>
      </c>
      <c r="I13" s="43" t="n">
        <v>44.5099259152658</v>
      </c>
      <c r="J13" s="43" t="n">
        <v>22.6488564597338</v>
      </c>
      <c r="K13" s="43" t="n">
        <v>0.08073379953387</v>
      </c>
      <c r="L13" s="43" t="n">
        <v>13.6913559354014</v>
      </c>
      <c r="M13" s="43" t="n">
        <v>1.27638993063568</v>
      </c>
      <c r="R13" s="18" t="s">
        <v>75</v>
      </c>
      <c r="S13" s="43" t="n">
        <v>-4.59</v>
      </c>
      <c r="T13" s="43" t="n">
        <v>-11.26</v>
      </c>
      <c r="U13" s="43" t="n">
        <v>-12.84</v>
      </c>
      <c r="V13" s="43" t="n">
        <v>15.2</v>
      </c>
      <c r="W13" s="43" t="n">
        <v>1.98</v>
      </c>
    </row>
    <row r="14" customFormat="false" ht="15" hidden="false" customHeight="false" outlineLevel="0" collapsed="false">
      <c r="A14" s="18" t="s">
        <v>75</v>
      </c>
      <c r="B14" s="43" t="n">
        <v>0.990097470002325</v>
      </c>
      <c r="C14" s="43" t="n">
        <v>37.7786340780086</v>
      </c>
      <c r="D14" s="43" t="n">
        <v>84.5733987155779</v>
      </c>
      <c r="E14" s="43" t="n">
        <v>0.407509202619936</v>
      </c>
      <c r="F14" s="43" t="n">
        <v>21.4167160831765</v>
      </c>
      <c r="G14" s="43" t="n">
        <v>14.3269162975258</v>
      </c>
      <c r="H14" s="43" t="n">
        <v>-0.00990301721348908</v>
      </c>
      <c r="I14" s="43" t="n">
        <v>0.0328155130619903</v>
      </c>
      <c r="J14" s="43" t="n">
        <v>0.00846082963148201</v>
      </c>
      <c r="K14" s="43" t="n">
        <v>0.112465172650475</v>
      </c>
      <c r="L14" s="43" t="n">
        <v>23.1011041960159</v>
      </c>
      <c r="M14" s="43" t="n">
        <v>1.09122420522825</v>
      </c>
      <c r="R14" s="18" t="s">
        <v>70</v>
      </c>
      <c r="S14" s="43" t="n">
        <v>-12.82</v>
      </c>
      <c r="T14" s="43" t="n">
        <v>-4.44</v>
      </c>
      <c r="U14" s="43" t="n">
        <v>-8.07</v>
      </c>
      <c r="V14" s="43" t="n">
        <v>1.98</v>
      </c>
      <c r="W14" s="43" t="n">
        <v>15.2</v>
      </c>
    </row>
    <row r="15" customFormat="false" ht="15" hidden="false" customHeight="false" outlineLevel="0" collapsed="false">
      <c r="A15" s="18" t="s">
        <v>70</v>
      </c>
      <c r="B15" s="43" t="n">
        <v>0.792098551025003</v>
      </c>
      <c r="C15" s="43" t="n">
        <v>25.7213486210983</v>
      </c>
      <c r="D15" s="43" t="n">
        <v>71.939680050855</v>
      </c>
      <c r="E15" s="43" t="n">
        <v>-0.481201360621424</v>
      </c>
      <c r="F15" s="43" t="n">
        <v>31.7670348426997</v>
      </c>
      <c r="G15" s="43" t="n">
        <v>26.5499530613728</v>
      </c>
      <c r="H15" s="43" t="n">
        <v>0.0344049822658711</v>
      </c>
      <c r="I15" s="43" t="n">
        <v>0.421339092526706</v>
      </c>
      <c r="J15" s="43" t="n">
        <v>0.135722778204963</v>
      </c>
      <c r="K15" s="43" t="n">
        <v>-0.109493947205193</v>
      </c>
      <c r="L15" s="43" t="n">
        <v>23.2928056352987</v>
      </c>
      <c r="M15" s="43" t="n">
        <v>1.37464415129989</v>
      </c>
    </row>
    <row r="18" customFormat="false" ht="15" hidden="false" customHeight="false" outlineLevel="0" collapsed="false">
      <c r="A18" s="146" t="s">
        <v>900</v>
      </c>
      <c r="B18" s="146"/>
      <c r="C18" s="146"/>
      <c r="D18" s="146"/>
      <c r="E18" s="146"/>
      <c r="F18" s="146"/>
      <c r="G18" s="146"/>
      <c r="H18" s="146"/>
      <c r="I18" s="146"/>
      <c r="J18" s="146"/>
      <c r="K18" s="146"/>
      <c r="L18" s="146"/>
      <c r="M18" s="146"/>
      <c r="N18" s="146"/>
      <c r="O18" s="146"/>
      <c r="P18" s="146"/>
    </row>
    <row r="20" customFormat="false" ht="15" hidden="false" customHeight="false" outlineLevel="0" collapsed="false">
      <c r="A20" s="18" t="s">
        <v>80</v>
      </c>
      <c r="B20" s="145" t="s">
        <v>892</v>
      </c>
      <c r="C20" s="145"/>
      <c r="D20" s="145"/>
      <c r="E20" s="145" t="s">
        <v>893</v>
      </c>
      <c r="F20" s="145"/>
      <c r="G20" s="145"/>
      <c r="H20" s="145" t="s">
        <v>894</v>
      </c>
      <c r="I20" s="145"/>
      <c r="J20" s="145"/>
      <c r="K20" s="145" t="s">
        <v>895</v>
      </c>
      <c r="L20" s="145"/>
      <c r="M20" s="145"/>
      <c r="N20" s="145" t="s">
        <v>896</v>
      </c>
      <c r="O20" s="145"/>
      <c r="P20" s="145"/>
    </row>
    <row r="21" customFormat="false" ht="15" hidden="false" customHeight="false" outlineLevel="0" collapsed="false">
      <c r="A21" s="18"/>
      <c r="B21" s="102" t="s">
        <v>897</v>
      </c>
      <c r="C21" s="102" t="s">
        <v>898</v>
      </c>
      <c r="D21" s="102" t="s">
        <v>899</v>
      </c>
      <c r="E21" s="102" t="s">
        <v>897</v>
      </c>
      <c r="F21" s="102" t="s">
        <v>898</v>
      </c>
      <c r="G21" s="102" t="s">
        <v>899</v>
      </c>
      <c r="H21" s="102" t="s">
        <v>897</v>
      </c>
      <c r="I21" s="102" t="s">
        <v>898</v>
      </c>
      <c r="J21" s="102" t="s">
        <v>899</v>
      </c>
      <c r="K21" s="102" t="s">
        <v>897</v>
      </c>
      <c r="L21" s="102" t="s">
        <v>898</v>
      </c>
      <c r="M21" s="102" t="s">
        <v>899</v>
      </c>
      <c r="N21" s="102" t="s">
        <v>897</v>
      </c>
      <c r="O21" s="102" t="s">
        <v>898</v>
      </c>
      <c r="P21" s="102" t="s">
        <v>899</v>
      </c>
    </row>
    <row r="22" customFormat="false" ht="15" hidden="false" customHeight="false" outlineLevel="0" collapsed="false">
      <c r="A22" s="18" t="s">
        <v>65</v>
      </c>
      <c r="B22" s="43" t="n">
        <v>-0.443740531679204</v>
      </c>
      <c r="C22" s="43" t="n">
        <v>9.21275314707979</v>
      </c>
      <c r="D22" s="43" t="n">
        <v>45.1922316446917</v>
      </c>
      <c r="E22" s="43" t="n">
        <v>0.471905141772631</v>
      </c>
      <c r="F22" s="43" t="n">
        <v>34.8681047802836</v>
      </c>
      <c r="G22" s="43" t="n">
        <v>51.1110740957238</v>
      </c>
      <c r="H22" s="43" t="n">
        <v>-0.0262585807707913</v>
      </c>
      <c r="I22" s="43" t="n">
        <v>0.280109291895479</v>
      </c>
      <c r="J22" s="43" t="n">
        <v>0.158251592163127</v>
      </c>
      <c r="K22" s="43" t="n">
        <v>-0.124166170962024</v>
      </c>
      <c r="L22" s="43" t="n">
        <v>34.1856697797446</v>
      </c>
      <c r="M22" s="43" t="n">
        <v>3.53844269108289</v>
      </c>
    </row>
    <row r="23" customFormat="false" ht="15" hidden="false" customHeight="false" outlineLevel="0" collapsed="false">
      <c r="A23" s="18" t="s">
        <v>71</v>
      </c>
      <c r="B23" s="43" t="n">
        <v>-0.479071630655126</v>
      </c>
      <c r="C23" s="43" t="n">
        <v>11.0252400272991</v>
      </c>
      <c r="D23" s="43" t="n">
        <v>57.3589070160574</v>
      </c>
      <c r="E23" s="43" t="n">
        <v>-0.185949281201987</v>
      </c>
      <c r="F23" s="43" t="n">
        <v>5.55857975330581</v>
      </c>
      <c r="G23" s="43" t="n">
        <v>8.64149667702005</v>
      </c>
      <c r="H23" s="43" t="n">
        <v>0.365436364954368</v>
      </c>
      <c r="I23" s="43" t="n">
        <v>55.7011870795111</v>
      </c>
      <c r="J23" s="43" t="n">
        <v>33.3751698071698</v>
      </c>
      <c r="K23" s="43" t="n">
        <v>0.0499851143724557</v>
      </c>
      <c r="L23" s="43" t="n">
        <v>5.68819932049015</v>
      </c>
      <c r="M23" s="43" t="n">
        <v>0.624426520159833</v>
      </c>
    </row>
    <row r="24" customFormat="false" ht="15" hidden="false" customHeight="false" outlineLevel="0" collapsed="false">
      <c r="A24" s="18" t="s">
        <v>74</v>
      </c>
      <c r="B24" s="43" t="n">
        <v>-0.60319977262505</v>
      </c>
      <c r="C24" s="43" t="n">
        <v>16.0923383964647</v>
      </c>
      <c r="D24" s="43" t="n">
        <v>69.2046837298762</v>
      </c>
      <c r="E24" s="43" t="n">
        <v>-0.204898744158509</v>
      </c>
      <c r="F24" s="43" t="n">
        <v>6.2138833947961</v>
      </c>
      <c r="G24" s="43" t="n">
        <v>7.98530930890051</v>
      </c>
      <c r="H24" s="43" t="n">
        <v>-0.336585803773008</v>
      </c>
      <c r="I24" s="43" t="n">
        <v>43.5053020742136</v>
      </c>
      <c r="J24" s="43" t="n">
        <v>21.5478894803922</v>
      </c>
      <c r="K24" s="43" t="n">
        <v>0.0814597965757924</v>
      </c>
      <c r="L24" s="43" t="n">
        <v>13.9088025212897</v>
      </c>
      <c r="M24" s="43" t="n">
        <v>1.26211751112134</v>
      </c>
    </row>
    <row r="25" customFormat="false" ht="15" hidden="false" customHeight="false" outlineLevel="0" collapsed="false">
      <c r="A25" s="18" t="s">
        <v>75</v>
      </c>
      <c r="B25" s="43" t="n">
        <v>0.999812322266366</v>
      </c>
      <c r="C25" s="43" t="n">
        <v>38.1361742067471</v>
      </c>
      <c r="D25" s="43" t="n">
        <v>84.6733273985887</v>
      </c>
      <c r="E25" s="43" t="n">
        <v>0.410214684689002</v>
      </c>
      <c r="F25" s="43" t="n">
        <v>21.4837577605644</v>
      </c>
      <c r="G25" s="43" t="n">
        <v>14.2538460101293</v>
      </c>
      <c r="H25" s="43" t="n">
        <v>0.00290343488096678</v>
      </c>
      <c r="I25" s="43" t="n">
        <v>0.00279240311444235</v>
      </c>
      <c r="J25" s="43" t="n">
        <v>0.000714058571313905</v>
      </c>
      <c r="K25" s="43" t="n">
        <v>0.112503327560992</v>
      </c>
      <c r="L25" s="43" t="n">
        <v>22.8842755870167</v>
      </c>
      <c r="M25" s="43" t="n">
        <v>1.07211258140575</v>
      </c>
    </row>
    <row r="26" customFormat="false" ht="15" hidden="false" customHeight="false" outlineLevel="0" collapsed="false">
      <c r="A26" s="18" t="s">
        <v>70</v>
      </c>
      <c r="B26" s="43" t="n">
        <v>0.790258778861176</v>
      </c>
      <c r="C26" s="43" t="n">
        <v>25.5334942006001</v>
      </c>
      <c r="D26" s="43" t="n">
        <v>71.7035814028406</v>
      </c>
      <c r="E26" s="43" t="n">
        <v>-0.482669714389903</v>
      </c>
      <c r="F26" s="43" t="n">
        <v>31.8756742380667</v>
      </c>
      <c r="G26" s="43" t="n">
        <v>26.7486759090325</v>
      </c>
      <c r="H26" s="43" t="n">
        <v>-0.0379255187301538</v>
      </c>
      <c r="I26" s="43" t="n">
        <v>0.5106089619048</v>
      </c>
      <c r="J26" s="43" t="n">
        <v>0.165144931490878</v>
      </c>
      <c r="K26" s="43" t="n">
        <v>-0.109735421346919</v>
      </c>
      <c r="L26" s="43" t="n">
        <v>23.3330517578836</v>
      </c>
      <c r="M26" s="43" t="n">
        <v>1.38259779849562</v>
      </c>
    </row>
  </sheetData>
  <mergeCells count="15">
    <mergeCell ref="C1:E3"/>
    <mergeCell ref="C4:E5"/>
    <mergeCell ref="A7:P7"/>
    <mergeCell ref="R7:W7"/>
    <mergeCell ref="B9:D9"/>
    <mergeCell ref="E9:G9"/>
    <mergeCell ref="H9:J9"/>
    <mergeCell ref="K9:M9"/>
    <mergeCell ref="N9:P9"/>
    <mergeCell ref="A18:P18"/>
    <mergeCell ref="B20:D20"/>
    <mergeCell ref="E20:G20"/>
    <mergeCell ref="H20:J20"/>
    <mergeCell ref="K20:M20"/>
    <mergeCell ref="N20:P2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84"/>
  <sheetViews>
    <sheetView showFormulas="false" showGridLines="true" showRowColHeaders="true" showZeros="true" rightToLeft="false" tabSelected="false" showOutlineSymbols="true" defaultGridColor="true" view="normal" topLeftCell="A1" colorId="64" zoomScale="197" zoomScaleNormal="197" zoomScalePageLayoutView="100" workbookViewId="0">
      <selection pane="topLeft" activeCell="A1" activeCellId="0" sqref="A1"/>
    </sheetView>
  </sheetViews>
  <sheetFormatPr defaultColWidth="8.60546875" defaultRowHeight="15" customHeight="false" zeroHeight="false" outlineLevelRow="0" outlineLevelCol="0"/>
  <sheetData>
    <row r="1" customFormat="false" ht="19.5" hidden="false" customHeight="true" outlineLevel="0" collapsed="false">
      <c r="A1" s="1"/>
      <c r="B1" s="1"/>
      <c r="C1" s="2" t="s">
        <v>901</v>
      </c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customFormat="false" ht="19.5" hidden="false" customHeight="true" outlineLevel="0" collapsed="false">
      <c r="A2" s="1"/>
      <c r="B2" s="1"/>
      <c r="C2" s="2"/>
      <c r="D2" s="2"/>
      <c r="E2" s="2"/>
      <c r="F2" s="3"/>
      <c r="G2" s="4" t="s">
        <v>1</v>
      </c>
      <c r="H2" s="5" t="s">
        <v>2</v>
      </c>
      <c r="I2" s="3"/>
      <c r="J2" s="3"/>
      <c r="K2" s="3"/>
      <c r="L2" s="3"/>
      <c r="M2" s="3"/>
      <c r="N2" s="3"/>
      <c r="O2" s="3"/>
      <c r="P2" s="3"/>
      <c r="Q2" s="3"/>
      <c r="R2" s="3"/>
    </row>
    <row r="3" customFormat="false" ht="19.5" hidden="false" customHeight="true" outlineLevel="0" collapsed="false">
      <c r="A3" s="1"/>
      <c r="B3" s="1"/>
      <c r="C3" s="2"/>
      <c r="D3" s="2"/>
      <c r="E3" s="2"/>
      <c r="F3" s="3"/>
      <c r="G3" s="4" t="s">
        <v>3</v>
      </c>
      <c r="H3" s="5" t="s">
        <v>4</v>
      </c>
      <c r="I3" s="3"/>
      <c r="J3" s="3"/>
      <c r="K3" s="4" t="s">
        <v>5</v>
      </c>
      <c r="L3" s="6" t="s">
        <v>6</v>
      </c>
      <c r="M3" s="3"/>
      <c r="N3" s="3"/>
      <c r="O3" s="3"/>
      <c r="P3" s="3"/>
      <c r="Q3" s="3"/>
      <c r="R3" s="3"/>
    </row>
    <row r="4" customFormat="false" ht="19.5" hidden="false" customHeight="true" outlineLevel="0" collapsed="false">
      <c r="A4" s="1"/>
      <c r="B4" s="1"/>
      <c r="C4" s="7" t="s">
        <v>7</v>
      </c>
      <c r="D4" s="7"/>
      <c r="E4" s="7"/>
      <c r="F4" s="3"/>
      <c r="G4" s="4" t="s">
        <v>8</v>
      </c>
      <c r="H4" s="5" t="s">
        <v>9</v>
      </c>
      <c r="I4" s="3"/>
      <c r="J4" s="3"/>
      <c r="K4" s="4" t="s">
        <v>10</v>
      </c>
      <c r="L4" s="6" t="s">
        <v>11</v>
      </c>
      <c r="M4" s="3"/>
      <c r="N4" s="3"/>
      <c r="O4" s="3"/>
      <c r="P4" s="3"/>
      <c r="Q4" s="3"/>
      <c r="R4" s="3"/>
    </row>
    <row r="5" customFormat="false" ht="19.5" hidden="false" customHeight="true" outlineLevel="0" collapsed="false">
      <c r="A5" s="8"/>
      <c r="B5" s="8"/>
      <c r="C5" s="7"/>
      <c r="D5" s="7"/>
      <c r="E5" s="7"/>
      <c r="F5" s="9"/>
      <c r="G5" s="10" t="s">
        <v>12</v>
      </c>
      <c r="H5" s="11" t="s">
        <v>13</v>
      </c>
      <c r="I5" s="9"/>
      <c r="J5" s="9"/>
      <c r="K5" s="10" t="s">
        <v>14</v>
      </c>
      <c r="L5" s="12" t="s">
        <v>15</v>
      </c>
      <c r="M5" s="9"/>
      <c r="N5" s="9"/>
      <c r="O5" s="9"/>
      <c r="P5" s="9"/>
      <c r="Q5" s="9"/>
      <c r="R5" s="9"/>
    </row>
    <row r="8" customFormat="false" ht="15" hidden="false" customHeight="false" outlineLevel="0" collapsed="false">
      <c r="A8" s="147" t="s">
        <v>902</v>
      </c>
      <c r="B8" s="147"/>
      <c r="C8" s="147"/>
      <c r="D8" s="147"/>
      <c r="E8" s="147"/>
      <c r="F8" s="147"/>
      <c r="G8" s="147"/>
      <c r="H8" s="147"/>
      <c r="I8" s="147"/>
      <c r="J8" s="147"/>
      <c r="K8" s="147"/>
      <c r="L8" s="147"/>
      <c r="M8" s="147"/>
      <c r="N8" s="147"/>
      <c r="O8" s="147"/>
      <c r="P8" s="147"/>
    </row>
    <row r="9" customFormat="false" ht="15" hidden="false" customHeight="false" outlineLevel="0" collapsed="false">
      <c r="A9" s="147"/>
      <c r="B9" s="147"/>
      <c r="C9" s="147"/>
      <c r="D9" s="147"/>
      <c r="E9" s="147"/>
      <c r="F9" s="147"/>
      <c r="G9" s="147"/>
      <c r="H9" s="147"/>
      <c r="I9" s="147"/>
      <c r="J9" s="147"/>
      <c r="K9" s="147"/>
      <c r="L9" s="147"/>
      <c r="M9" s="147"/>
      <c r="N9" s="147"/>
      <c r="O9" s="147"/>
      <c r="P9" s="147"/>
    </row>
    <row r="11" customFormat="false" ht="15" hidden="false" customHeight="false" outlineLevel="0" collapsed="false">
      <c r="A11" s="148" t="s">
        <v>903</v>
      </c>
      <c r="B11" s="148"/>
      <c r="C11" s="148"/>
      <c r="D11" s="148"/>
      <c r="E11" s="148"/>
      <c r="F11" s="148"/>
      <c r="G11" s="148"/>
      <c r="H11" s="148"/>
      <c r="I11" s="148"/>
      <c r="J11" s="148"/>
      <c r="K11" s="148"/>
      <c r="L11" s="148"/>
      <c r="M11" s="148"/>
      <c r="N11" s="148"/>
      <c r="O11" s="148"/>
      <c r="P11" s="148"/>
      <c r="R11" s="148" t="s">
        <v>904</v>
      </c>
      <c r="S11" s="148"/>
      <c r="T11" s="148"/>
    </row>
    <row r="12" customFormat="false" ht="15" hidden="false" customHeight="false" outlineLevel="0" collapsed="false">
      <c r="A12" s="123"/>
      <c r="B12" s="149" t="s">
        <v>112</v>
      </c>
      <c r="C12" s="149" t="s">
        <v>115</v>
      </c>
      <c r="D12" s="149" t="s">
        <v>119</v>
      </c>
      <c r="E12" s="149" t="s">
        <v>121</v>
      </c>
      <c r="F12" s="149" t="s">
        <v>123</v>
      </c>
      <c r="G12" s="149" t="s">
        <v>125</v>
      </c>
      <c r="H12" s="150" t="s">
        <v>168</v>
      </c>
      <c r="I12" s="150" t="s">
        <v>169</v>
      </c>
      <c r="J12" s="150" t="s">
        <v>170</v>
      </c>
      <c r="K12" s="150" t="s">
        <v>171</v>
      </c>
      <c r="L12" s="150" t="s">
        <v>172</v>
      </c>
      <c r="M12" s="150" t="s">
        <v>173</v>
      </c>
      <c r="N12" s="150" t="s">
        <v>174</v>
      </c>
      <c r="O12" s="150" t="s">
        <v>175</v>
      </c>
      <c r="P12" s="150" t="s">
        <v>176</v>
      </c>
      <c r="R12" s="151"/>
      <c r="S12" s="150" t="s">
        <v>112</v>
      </c>
      <c r="T12" s="150" t="s">
        <v>121</v>
      </c>
    </row>
    <row r="13" customFormat="false" ht="15" hidden="false" customHeight="false" outlineLevel="0" collapsed="false">
      <c r="A13" s="152" t="s">
        <v>33</v>
      </c>
      <c r="B13" s="153" t="n">
        <v>4.69</v>
      </c>
      <c r="C13" s="154"/>
      <c r="D13" s="154"/>
      <c r="E13" s="153" t="n">
        <v>4.69</v>
      </c>
      <c r="F13" s="154"/>
      <c r="G13" s="154"/>
      <c r="H13" s="153" t="n">
        <v>4.69</v>
      </c>
      <c r="I13" s="154"/>
      <c r="J13" s="154"/>
      <c r="K13" s="154"/>
      <c r="L13" s="154"/>
      <c r="M13" s="154"/>
      <c r="N13" s="154"/>
      <c r="O13" s="154"/>
      <c r="P13" s="154"/>
      <c r="R13" s="155" t="s">
        <v>33</v>
      </c>
      <c r="S13" s="153" t="n">
        <v>-3.22</v>
      </c>
      <c r="T13" s="153" t="n">
        <v>-3.22</v>
      </c>
    </row>
    <row r="14" customFormat="false" ht="15" hidden="false" customHeight="false" outlineLevel="0" collapsed="false">
      <c r="A14" s="152" t="s">
        <v>96</v>
      </c>
      <c r="B14" s="154"/>
      <c r="C14" s="154"/>
      <c r="D14" s="154"/>
      <c r="E14" s="154"/>
      <c r="F14" s="154"/>
      <c r="G14" s="154"/>
      <c r="H14" s="154"/>
      <c r="I14" s="154"/>
      <c r="J14" s="154"/>
      <c r="K14" s="154"/>
      <c r="L14" s="154"/>
      <c r="M14" s="154"/>
      <c r="N14" s="154"/>
      <c r="O14" s="154"/>
      <c r="P14" s="154"/>
      <c r="R14" s="155" t="s">
        <v>177</v>
      </c>
      <c r="S14" s="153" t="n">
        <v>-3.22</v>
      </c>
      <c r="T14" s="153" t="n">
        <v>-3.22</v>
      </c>
    </row>
    <row r="15" customFormat="false" ht="15" hidden="false" customHeight="false" outlineLevel="0" collapsed="false">
      <c r="A15" s="152" t="s">
        <v>34</v>
      </c>
      <c r="B15" s="154"/>
      <c r="C15" s="154"/>
      <c r="D15" s="153" t="n">
        <v>-7.91</v>
      </c>
      <c r="E15" s="154"/>
      <c r="F15" s="154"/>
      <c r="G15" s="153" t="n">
        <v>-7.91</v>
      </c>
      <c r="H15" s="154"/>
      <c r="I15" s="154"/>
      <c r="J15" s="154"/>
      <c r="K15" s="154"/>
      <c r="L15" s="154"/>
      <c r="M15" s="154"/>
      <c r="N15" s="154"/>
      <c r="O15" s="154"/>
      <c r="P15" s="153" t="n">
        <v>-7.91</v>
      </c>
    </row>
    <row r="16" customFormat="false" ht="15" hidden="false" customHeight="false" outlineLevel="0" collapsed="false">
      <c r="A16" s="152" t="s">
        <v>97</v>
      </c>
      <c r="B16" s="153" t="n">
        <v>4.69</v>
      </c>
      <c r="C16" s="154"/>
      <c r="D16" s="154"/>
      <c r="E16" s="153" t="n">
        <v>4.69</v>
      </c>
      <c r="F16" s="154"/>
      <c r="G16" s="154"/>
      <c r="H16" s="153" t="n">
        <v>4.69</v>
      </c>
      <c r="I16" s="154"/>
      <c r="J16" s="154"/>
      <c r="K16" s="154"/>
      <c r="L16" s="154"/>
      <c r="M16" s="154"/>
      <c r="N16" s="154"/>
      <c r="O16" s="154"/>
      <c r="P16" s="154"/>
    </row>
    <row r="17" customFormat="false" ht="15" hidden="false" customHeight="false" outlineLevel="0" collapsed="false">
      <c r="A17" s="152" t="s">
        <v>98</v>
      </c>
      <c r="B17" s="154"/>
      <c r="C17" s="154"/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154"/>
      <c r="P17" s="154"/>
    </row>
    <row r="18" customFormat="false" ht="15" hidden="false" customHeight="false" outlineLevel="0" collapsed="false">
      <c r="A18" s="152" t="s">
        <v>99</v>
      </c>
      <c r="B18" s="154"/>
      <c r="C18" s="154"/>
      <c r="D18" s="153" t="n">
        <v>-7.91</v>
      </c>
      <c r="E18" s="154"/>
      <c r="F18" s="154"/>
      <c r="G18" s="153" t="n">
        <v>-7.91</v>
      </c>
      <c r="H18" s="154"/>
      <c r="I18" s="154"/>
      <c r="J18" s="154"/>
      <c r="K18" s="154"/>
      <c r="L18" s="154"/>
      <c r="M18" s="154"/>
      <c r="N18" s="154"/>
      <c r="O18" s="154"/>
      <c r="P18" s="153" t="n">
        <v>-7.91</v>
      </c>
    </row>
    <row r="19" customFormat="false" ht="15" hidden="false" customHeight="false" outlineLevel="0" collapsed="false">
      <c r="A19" s="155" t="s">
        <v>177</v>
      </c>
      <c r="B19" s="153" t="n">
        <v>4.69</v>
      </c>
      <c r="C19" s="154"/>
      <c r="D19" s="154"/>
      <c r="E19" s="153" t="n">
        <v>4.69</v>
      </c>
      <c r="F19" s="154"/>
      <c r="G19" s="154"/>
      <c r="H19" s="153" t="n">
        <v>4.69</v>
      </c>
      <c r="I19" s="154"/>
      <c r="J19" s="154"/>
      <c r="K19" s="154"/>
      <c r="L19" s="154"/>
      <c r="M19" s="154"/>
      <c r="N19" s="154"/>
      <c r="O19" s="154"/>
      <c r="P19" s="154"/>
    </row>
    <row r="20" customFormat="false" ht="15" hidden="false" customHeight="false" outlineLevel="0" collapsed="false">
      <c r="A20" s="155" t="s">
        <v>205</v>
      </c>
      <c r="B20" s="154"/>
      <c r="C20" s="154"/>
      <c r="D20" s="154"/>
      <c r="E20" s="154"/>
      <c r="F20" s="154"/>
      <c r="G20" s="154"/>
      <c r="H20" s="154"/>
      <c r="I20" s="154"/>
      <c r="J20" s="154"/>
      <c r="K20" s="154"/>
      <c r="L20" s="154"/>
      <c r="M20" s="154"/>
      <c r="N20" s="154"/>
      <c r="O20" s="154"/>
      <c r="P20" s="154"/>
    </row>
    <row r="21" customFormat="false" ht="15" hidden="false" customHeight="false" outlineLevel="0" collapsed="false">
      <c r="A21" s="155" t="s">
        <v>233</v>
      </c>
      <c r="B21" s="154"/>
      <c r="C21" s="154"/>
      <c r="D21" s="154"/>
      <c r="E21" s="154"/>
      <c r="F21" s="154"/>
      <c r="G21" s="154"/>
      <c r="H21" s="154"/>
      <c r="I21" s="154"/>
      <c r="J21" s="154"/>
      <c r="K21" s="154"/>
      <c r="L21" s="154"/>
      <c r="M21" s="154"/>
      <c r="N21" s="154"/>
      <c r="O21" s="154"/>
      <c r="P21" s="154"/>
    </row>
    <row r="22" customFormat="false" ht="15" hidden="false" customHeight="false" outlineLevel="0" collapsed="false">
      <c r="A22" s="155" t="s">
        <v>186</v>
      </c>
      <c r="B22" s="154"/>
      <c r="C22" s="154"/>
      <c r="D22" s="154"/>
      <c r="E22" s="154"/>
      <c r="F22" s="154"/>
      <c r="G22" s="154"/>
      <c r="H22" s="154"/>
      <c r="I22" s="154"/>
      <c r="J22" s="154"/>
      <c r="K22" s="154"/>
      <c r="L22" s="154"/>
      <c r="M22" s="154"/>
      <c r="N22" s="154"/>
      <c r="O22" s="154"/>
      <c r="P22" s="154"/>
    </row>
    <row r="23" customFormat="false" ht="15" hidden="false" customHeight="false" outlineLevel="0" collapsed="false">
      <c r="A23" s="155" t="s">
        <v>215</v>
      </c>
      <c r="B23" s="154"/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</row>
    <row r="24" customFormat="false" ht="15" hidden="false" customHeight="false" outlineLevel="0" collapsed="false">
      <c r="A24" s="155" t="s">
        <v>243</v>
      </c>
      <c r="B24" s="154"/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4"/>
      <c r="N24" s="154"/>
      <c r="O24" s="154"/>
      <c r="P24" s="154"/>
    </row>
    <row r="25" customFormat="false" ht="15" hidden="false" customHeight="false" outlineLevel="0" collapsed="false">
      <c r="A25" s="155" t="s">
        <v>195</v>
      </c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</row>
    <row r="26" customFormat="false" ht="15" hidden="false" customHeight="false" outlineLevel="0" collapsed="false">
      <c r="A26" s="155" t="s">
        <v>223</v>
      </c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</row>
    <row r="27" customFormat="false" ht="15" hidden="false" customHeight="false" outlineLevel="0" collapsed="false">
      <c r="A27" s="155" t="s">
        <v>250</v>
      </c>
      <c r="B27" s="154"/>
      <c r="C27" s="154"/>
      <c r="D27" s="153" t="n">
        <v>-7.91</v>
      </c>
      <c r="E27" s="154"/>
      <c r="F27" s="154"/>
      <c r="G27" s="153" t="n">
        <v>-7.91</v>
      </c>
      <c r="H27" s="154"/>
      <c r="I27" s="154"/>
      <c r="J27" s="154"/>
      <c r="K27" s="154"/>
      <c r="L27" s="154"/>
      <c r="M27" s="154"/>
      <c r="N27" s="154"/>
      <c r="O27" s="154"/>
      <c r="P27" s="153" t="n">
        <v>-7.91</v>
      </c>
    </row>
    <row r="30" customFormat="false" ht="15" hidden="false" customHeight="false" outlineLevel="0" collapsed="false">
      <c r="A30" s="148" t="s">
        <v>905</v>
      </c>
      <c r="B30" s="148"/>
      <c r="C30" s="148"/>
      <c r="D30" s="148"/>
      <c r="E30" s="148"/>
      <c r="F30" s="148"/>
      <c r="G30" s="148"/>
      <c r="H30" s="148"/>
      <c r="I30" s="148"/>
      <c r="J30" s="148"/>
      <c r="K30" s="148"/>
      <c r="L30" s="148"/>
      <c r="M30" s="148"/>
      <c r="N30" s="148"/>
      <c r="O30" s="148"/>
      <c r="P30" s="148"/>
      <c r="R30" s="148" t="s">
        <v>906</v>
      </c>
      <c r="S30" s="148"/>
      <c r="T30" s="148"/>
    </row>
    <row r="31" customFormat="false" ht="15" hidden="false" customHeight="false" outlineLevel="0" collapsed="false">
      <c r="A31" s="123"/>
      <c r="B31" s="149" t="s">
        <v>112</v>
      </c>
      <c r="C31" s="149" t="s">
        <v>115</v>
      </c>
      <c r="D31" s="149" t="s">
        <v>119</v>
      </c>
      <c r="E31" s="149" t="s">
        <v>121</v>
      </c>
      <c r="F31" s="149" t="s">
        <v>123</v>
      </c>
      <c r="G31" s="149" t="s">
        <v>125</v>
      </c>
      <c r="H31" s="150" t="s">
        <v>168</v>
      </c>
      <c r="I31" s="150" t="s">
        <v>169</v>
      </c>
      <c r="J31" s="150" t="s">
        <v>170</v>
      </c>
      <c r="K31" s="150" t="s">
        <v>171</v>
      </c>
      <c r="L31" s="150" t="s">
        <v>172</v>
      </c>
      <c r="M31" s="150" t="s">
        <v>173</v>
      </c>
      <c r="N31" s="150" t="s">
        <v>174</v>
      </c>
      <c r="O31" s="150" t="s">
        <v>175</v>
      </c>
      <c r="P31" s="150" t="s">
        <v>176</v>
      </c>
      <c r="R31" s="151"/>
      <c r="S31" s="150" t="s">
        <v>112</v>
      </c>
      <c r="T31" s="150" t="s">
        <v>121</v>
      </c>
    </row>
    <row r="32" customFormat="false" ht="15" hidden="false" customHeight="false" outlineLevel="0" collapsed="false">
      <c r="A32" s="152" t="s">
        <v>33</v>
      </c>
      <c r="B32" s="156" t="n">
        <v>2</v>
      </c>
      <c r="C32" s="154"/>
      <c r="D32" s="154"/>
      <c r="E32" s="156" t="n">
        <v>2</v>
      </c>
      <c r="F32" s="154"/>
      <c r="G32" s="154"/>
      <c r="H32" s="156" t="n">
        <v>2</v>
      </c>
      <c r="I32" s="154"/>
      <c r="J32" s="154"/>
      <c r="K32" s="154"/>
      <c r="L32" s="154"/>
      <c r="M32" s="154"/>
      <c r="N32" s="154"/>
      <c r="O32" s="154"/>
      <c r="P32" s="154"/>
      <c r="R32" s="155" t="s">
        <v>33</v>
      </c>
      <c r="S32" s="156" t="n">
        <v>6</v>
      </c>
      <c r="T32" s="156" t="n">
        <v>6</v>
      </c>
    </row>
    <row r="33" customFormat="false" ht="15" hidden="false" customHeight="false" outlineLevel="0" collapsed="false">
      <c r="A33" s="152" t="s">
        <v>96</v>
      </c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R33" s="155" t="s">
        <v>177</v>
      </c>
      <c r="S33" s="156" t="n">
        <v>6</v>
      </c>
      <c r="T33" s="156" t="n">
        <v>6</v>
      </c>
    </row>
    <row r="34" customFormat="false" ht="15" hidden="false" customHeight="false" outlineLevel="0" collapsed="false">
      <c r="A34" s="152" t="s">
        <v>34</v>
      </c>
      <c r="B34" s="154"/>
      <c r="C34" s="154"/>
      <c r="D34" s="156" t="n">
        <v>4</v>
      </c>
      <c r="E34" s="154"/>
      <c r="F34" s="154"/>
      <c r="G34" s="156" t="n">
        <v>4</v>
      </c>
      <c r="H34" s="154"/>
      <c r="I34" s="154"/>
      <c r="J34" s="154"/>
      <c r="K34" s="154"/>
      <c r="L34" s="154"/>
      <c r="M34" s="154"/>
      <c r="N34" s="154"/>
      <c r="O34" s="154"/>
      <c r="P34" s="156" t="n">
        <v>4</v>
      </c>
    </row>
    <row r="35" customFormat="false" ht="15" hidden="false" customHeight="false" outlineLevel="0" collapsed="false">
      <c r="A35" s="152" t="s">
        <v>97</v>
      </c>
      <c r="B35" s="156" t="n">
        <v>2</v>
      </c>
      <c r="C35" s="154"/>
      <c r="D35" s="154"/>
      <c r="E35" s="156" t="n">
        <v>2</v>
      </c>
      <c r="F35" s="154"/>
      <c r="G35" s="154"/>
      <c r="H35" s="156" t="n">
        <v>2</v>
      </c>
      <c r="I35" s="154"/>
      <c r="J35" s="154"/>
      <c r="K35" s="154"/>
      <c r="L35" s="154"/>
      <c r="M35" s="154"/>
      <c r="N35" s="154"/>
      <c r="O35" s="154"/>
      <c r="P35" s="154"/>
    </row>
    <row r="36" customFormat="false" ht="15" hidden="false" customHeight="false" outlineLevel="0" collapsed="false">
      <c r="A36" s="152" t="s">
        <v>98</v>
      </c>
      <c r="B36" s="154"/>
      <c r="C36" s="154"/>
      <c r="D36" s="154"/>
      <c r="E36" s="154"/>
      <c r="F36" s="154"/>
      <c r="G36" s="154"/>
      <c r="H36" s="154"/>
      <c r="I36" s="154"/>
      <c r="J36" s="154"/>
      <c r="K36" s="154"/>
      <c r="L36" s="154"/>
      <c r="M36" s="154"/>
      <c r="N36" s="154"/>
      <c r="O36" s="154"/>
      <c r="P36" s="154"/>
    </row>
    <row r="37" customFormat="false" ht="15" hidden="false" customHeight="false" outlineLevel="0" collapsed="false">
      <c r="A37" s="152" t="s">
        <v>99</v>
      </c>
      <c r="B37" s="154"/>
      <c r="C37" s="154"/>
      <c r="D37" s="156" t="n">
        <v>4</v>
      </c>
      <c r="E37" s="154"/>
      <c r="F37" s="154"/>
      <c r="G37" s="156" t="n">
        <v>4</v>
      </c>
      <c r="H37" s="154"/>
      <c r="I37" s="154"/>
      <c r="J37" s="154"/>
      <c r="K37" s="154"/>
      <c r="L37" s="154"/>
      <c r="M37" s="154"/>
      <c r="N37" s="154"/>
      <c r="O37" s="154"/>
      <c r="P37" s="156" t="n">
        <v>4</v>
      </c>
    </row>
    <row r="38" customFormat="false" ht="15" hidden="false" customHeight="false" outlineLevel="0" collapsed="false">
      <c r="A38" s="155" t="s">
        <v>177</v>
      </c>
      <c r="B38" s="156" t="n">
        <v>2</v>
      </c>
      <c r="C38" s="154"/>
      <c r="D38" s="154"/>
      <c r="E38" s="156" t="n">
        <v>2</v>
      </c>
      <c r="F38" s="154"/>
      <c r="G38" s="154"/>
      <c r="H38" s="156" t="n">
        <v>2</v>
      </c>
      <c r="I38" s="154"/>
      <c r="J38" s="154"/>
      <c r="K38" s="154"/>
      <c r="L38" s="154"/>
      <c r="M38" s="154"/>
      <c r="N38" s="154"/>
      <c r="O38" s="154"/>
      <c r="P38" s="154"/>
    </row>
    <row r="39" customFormat="false" ht="15" hidden="false" customHeight="false" outlineLevel="0" collapsed="false">
      <c r="A39" s="155" t="s">
        <v>205</v>
      </c>
      <c r="B39" s="154"/>
      <c r="C39" s="154"/>
      <c r="D39" s="154"/>
      <c r="E39" s="154"/>
      <c r="F39" s="154"/>
      <c r="G39" s="154"/>
      <c r="H39" s="154"/>
      <c r="I39" s="154"/>
      <c r="J39" s="154"/>
      <c r="K39" s="154"/>
      <c r="L39" s="154"/>
      <c r="M39" s="154"/>
      <c r="N39" s="154"/>
      <c r="O39" s="154"/>
      <c r="P39" s="154"/>
    </row>
    <row r="40" customFormat="false" ht="15" hidden="false" customHeight="false" outlineLevel="0" collapsed="false">
      <c r="A40" s="155" t="s">
        <v>233</v>
      </c>
      <c r="B40" s="154"/>
      <c r="C40" s="154"/>
      <c r="D40" s="154"/>
      <c r="E40" s="154"/>
      <c r="F40" s="154"/>
      <c r="G40" s="154"/>
      <c r="H40" s="154"/>
      <c r="I40" s="154"/>
      <c r="J40" s="154"/>
      <c r="K40" s="154"/>
      <c r="L40" s="154"/>
      <c r="M40" s="154"/>
      <c r="N40" s="154"/>
      <c r="O40" s="154"/>
      <c r="P40" s="154"/>
    </row>
    <row r="41" customFormat="false" ht="15" hidden="false" customHeight="false" outlineLevel="0" collapsed="false">
      <c r="A41" s="155" t="s">
        <v>186</v>
      </c>
      <c r="B41" s="154"/>
      <c r="C41" s="154"/>
      <c r="D41" s="154"/>
      <c r="E41" s="154"/>
      <c r="F41" s="154"/>
      <c r="G41" s="154"/>
      <c r="H41" s="154"/>
      <c r="I41" s="154"/>
      <c r="J41" s="154"/>
      <c r="K41" s="154"/>
      <c r="L41" s="154"/>
      <c r="M41" s="154"/>
      <c r="N41" s="154"/>
      <c r="O41" s="154"/>
      <c r="P41" s="154"/>
    </row>
    <row r="42" customFormat="false" ht="15" hidden="false" customHeight="false" outlineLevel="0" collapsed="false">
      <c r="A42" s="155" t="s">
        <v>215</v>
      </c>
      <c r="B42" s="154"/>
      <c r="C42" s="154"/>
      <c r="D42" s="154"/>
      <c r="E42" s="154"/>
      <c r="F42" s="154"/>
      <c r="G42" s="154"/>
      <c r="H42" s="154"/>
      <c r="I42" s="154"/>
      <c r="J42" s="154"/>
      <c r="K42" s="154"/>
      <c r="L42" s="154"/>
      <c r="M42" s="154"/>
      <c r="N42" s="154"/>
      <c r="O42" s="154"/>
      <c r="P42" s="154"/>
    </row>
    <row r="43" customFormat="false" ht="15" hidden="false" customHeight="false" outlineLevel="0" collapsed="false">
      <c r="A43" s="155" t="s">
        <v>243</v>
      </c>
      <c r="B43" s="154"/>
      <c r="C43" s="154"/>
      <c r="D43" s="154"/>
      <c r="E43" s="154"/>
      <c r="F43" s="154"/>
      <c r="G43" s="154"/>
      <c r="H43" s="154"/>
      <c r="I43" s="154"/>
      <c r="J43" s="154"/>
      <c r="K43" s="154"/>
      <c r="L43" s="154"/>
      <c r="M43" s="154"/>
      <c r="N43" s="154"/>
      <c r="O43" s="154"/>
      <c r="P43" s="154"/>
    </row>
    <row r="44" customFormat="false" ht="15" hidden="false" customHeight="false" outlineLevel="0" collapsed="false">
      <c r="A44" s="155" t="s">
        <v>195</v>
      </c>
      <c r="B44" s="154"/>
      <c r="C44" s="154"/>
      <c r="D44" s="154"/>
      <c r="E44" s="154"/>
      <c r="F44" s="154"/>
      <c r="G44" s="154"/>
      <c r="H44" s="154"/>
      <c r="I44" s="154"/>
      <c r="J44" s="154"/>
      <c r="K44" s="154"/>
      <c r="L44" s="154"/>
      <c r="M44" s="154"/>
      <c r="N44" s="154"/>
      <c r="O44" s="154"/>
      <c r="P44" s="154"/>
    </row>
    <row r="45" customFormat="false" ht="15" hidden="false" customHeight="false" outlineLevel="0" collapsed="false">
      <c r="A45" s="155" t="s">
        <v>223</v>
      </c>
      <c r="B45" s="154"/>
      <c r="C45" s="154"/>
      <c r="D45" s="154"/>
      <c r="E45" s="154"/>
      <c r="F45" s="154"/>
      <c r="G45" s="154"/>
      <c r="H45" s="154"/>
      <c r="I45" s="154"/>
      <c r="J45" s="154"/>
      <c r="K45" s="154"/>
      <c r="L45" s="154"/>
      <c r="M45" s="154"/>
      <c r="N45" s="154"/>
      <c r="O45" s="154"/>
      <c r="P45" s="154"/>
    </row>
    <row r="46" customFormat="false" ht="15" hidden="false" customHeight="false" outlineLevel="0" collapsed="false">
      <c r="A46" s="155" t="s">
        <v>250</v>
      </c>
      <c r="B46" s="154"/>
      <c r="C46" s="154"/>
      <c r="D46" s="156" t="n">
        <v>4</v>
      </c>
      <c r="E46" s="154"/>
      <c r="F46" s="154"/>
      <c r="G46" s="156" t="n">
        <v>4</v>
      </c>
      <c r="H46" s="154"/>
      <c r="I46" s="154"/>
      <c r="J46" s="154"/>
      <c r="K46" s="154"/>
      <c r="L46" s="154"/>
      <c r="M46" s="154"/>
      <c r="N46" s="154"/>
      <c r="O46" s="154"/>
      <c r="P46" s="156" t="n">
        <v>4</v>
      </c>
    </row>
    <row r="49" customFormat="false" ht="15" hidden="false" customHeight="false" outlineLevel="0" collapsed="false">
      <c r="A49" s="148" t="s">
        <v>907</v>
      </c>
      <c r="B49" s="148"/>
      <c r="C49" s="148"/>
      <c r="D49" s="148"/>
      <c r="E49" s="148"/>
      <c r="F49" s="148"/>
      <c r="G49" s="148"/>
      <c r="H49" s="148"/>
      <c r="I49" s="148"/>
      <c r="J49" s="148"/>
      <c r="K49" s="148"/>
      <c r="L49" s="148"/>
      <c r="M49" s="148"/>
      <c r="N49" s="148"/>
      <c r="O49" s="148"/>
      <c r="P49" s="148"/>
      <c r="R49" s="148" t="s">
        <v>908</v>
      </c>
      <c r="S49" s="148"/>
      <c r="T49" s="148"/>
    </row>
    <row r="50" customFormat="false" ht="15" hidden="false" customHeight="false" outlineLevel="0" collapsed="false">
      <c r="A50" s="123"/>
      <c r="B50" s="149" t="s">
        <v>112</v>
      </c>
      <c r="C50" s="149" t="s">
        <v>115</v>
      </c>
      <c r="D50" s="149" t="s">
        <v>119</v>
      </c>
      <c r="E50" s="149" t="s">
        <v>121</v>
      </c>
      <c r="F50" s="149" t="s">
        <v>123</v>
      </c>
      <c r="G50" s="149" t="s">
        <v>125</v>
      </c>
      <c r="H50" s="150" t="s">
        <v>168</v>
      </c>
      <c r="I50" s="150" t="s">
        <v>169</v>
      </c>
      <c r="J50" s="150" t="s">
        <v>170</v>
      </c>
      <c r="K50" s="150" t="s">
        <v>171</v>
      </c>
      <c r="L50" s="150" t="s">
        <v>172</v>
      </c>
      <c r="M50" s="150" t="s">
        <v>173</v>
      </c>
      <c r="N50" s="150" t="s">
        <v>174</v>
      </c>
      <c r="O50" s="150" t="s">
        <v>175</v>
      </c>
      <c r="P50" s="150" t="s">
        <v>176</v>
      </c>
      <c r="R50" s="151"/>
      <c r="S50" s="150" t="s">
        <v>112</v>
      </c>
      <c r="T50" s="150" t="s">
        <v>121</v>
      </c>
    </row>
    <row r="51" customFormat="false" ht="15" hidden="false" customHeight="false" outlineLevel="0" collapsed="false">
      <c r="A51" s="152" t="s">
        <v>33</v>
      </c>
      <c r="B51" s="153" t="n">
        <v>4.69</v>
      </c>
      <c r="C51" s="154"/>
      <c r="D51" s="154"/>
      <c r="E51" s="153" t="n">
        <v>4.69</v>
      </c>
      <c r="F51" s="154"/>
      <c r="G51" s="154"/>
      <c r="H51" s="153" t="n">
        <v>4.69</v>
      </c>
      <c r="I51" s="154"/>
      <c r="J51" s="154"/>
      <c r="K51" s="154"/>
      <c r="L51" s="154"/>
      <c r="M51" s="154"/>
      <c r="N51" s="154"/>
      <c r="O51" s="154"/>
      <c r="P51" s="154"/>
      <c r="R51" s="155" t="s">
        <v>33</v>
      </c>
      <c r="S51" s="153" t="n">
        <v>12.6</v>
      </c>
      <c r="T51" s="153" t="n">
        <v>12.6</v>
      </c>
    </row>
    <row r="52" customFormat="false" ht="15" hidden="false" customHeight="false" outlineLevel="0" collapsed="false">
      <c r="A52" s="152" t="s">
        <v>96</v>
      </c>
      <c r="B52" s="154"/>
      <c r="C52" s="154"/>
      <c r="D52" s="154"/>
      <c r="E52" s="154"/>
      <c r="F52" s="154"/>
      <c r="G52" s="154"/>
      <c r="H52" s="154"/>
      <c r="I52" s="154"/>
      <c r="J52" s="154"/>
      <c r="K52" s="154"/>
      <c r="L52" s="154"/>
      <c r="M52" s="154"/>
      <c r="N52" s="154"/>
      <c r="O52" s="154"/>
      <c r="P52" s="154"/>
      <c r="R52" s="155" t="s">
        <v>177</v>
      </c>
      <c r="S52" s="153" t="n">
        <v>12.6</v>
      </c>
      <c r="T52" s="153" t="n">
        <v>12.6</v>
      </c>
    </row>
    <row r="53" customFormat="false" ht="15" hidden="false" customHeight="false" outlineLevel="0" collapsed="false">
      <c r="A53" s="152" t="s">
        <v>34</v>
      </c>
      <c r="B53" s="154"/>
      <c r="C53" s="154"/>
      <c r="D53" s="153" t="n">
        <v>7.91</v>
      </c>
      <c r="E53" s="154"/>
      <c r="F53" s="154"/>
      <c r="G53" s="153" t="n">
        <v>7.91</v>
      </c>
      <c r="H53" s="154"/>
      <c r="I53" s="154"/>
      <c r="J53" s="154"/>
      <c r="K53" s="154"/>
      <c r="L53" s="154"/>
      <c r="M53" s="154"/>
      <c r="N53" s="154"/>
      <c r="O53" s="154"/>
      <c r="P53" s="153" t="n">
        <v>7.91</v>
      </c>
    </row>
    <row r="54" customFormat="false" ht="15" hidden="false" customHeight="false" outlineLevel="0" collapsed="false">
      <c r="A54" s="152" t="s">
        <v>97</v>
      </c>
      <c r="B54" s="153" t="n">
        <v>4.69</v>
      </c>
      <c r="C54" s="154"/>
      <c r="D54" s="154"/>
      <c r="E54" s="153" t="n">
        <v>4.69</v>
      </c>
      <c r="F54" s="154"/>
      <c r="G54" s="154"/>
      <c r="H54" s="153" t="n">
        <v>4.69</v>
      </c>
      <c r="I54" s="154"/>
      <c r="J54" s="154"/>
      <c r="K54" s="154"/>
      <c r="L54" s="154"/>
      <c r="M54" s="154"/>
      <c r="N54" s="154"/>
      <c r="O54" s="154"/>
      <c r="P54" s="154"/>
    </row>
    <row r="55" customFormat="false" ht="15" hidden="false" customHeight="false" outlineLevel="0" collapsed="false">
      <c r="A55" s="152" t="s">
        <v>98</v>
      </c>
      <c r="B55" s="154"/>
      <c r="C55" s="154"/>
      <c r="D55" s="154"/>
      <c r="E55" s="154"/>
      <c r="F55" s="154"/>
      <c r="G55" s="154"/>
      <c r="H55" s="154"/>
      <c r="I55" s="154"/>
      <c r="J55" s="154"/>
      <c r="K55" s="154"/>
      <c r="L55" s="154"/>
      <c r="M55" s="154"/>
      <c r="N55" s="154"/>
      <c r="O55" s="154"/>
      <c r="P55" s="154"/>
    </row>
    <row r="56" customFormat="false" ht="15" hidden="false" customHeight="false" outlineLevel="0" collapsed="false">
      <c r="A56" s="152" t="s">
        <v>99</v>
      </c>
      <c r="B56" s="154"/>
      <c r="C56" s="154"/>
      <c r="D56" s="153" t="n">
        <v>7.91</v>
      </c>
      <c r="E56" s="154"/>
      <c r="F56" s="154"/>
      <c r="G56" s="153" t="n">
        <v>7.91</v>
      </c>
      <c r="H56" s="154"/>
      <c r="I56" s="154"/>
      <c r="J56" s="154"/>
      <c r="K56" s="154"/>
      <c r="L56" s="154"/>
      <c r="M56" s="154"/>
      <c r="N56" s="154"/>
      <c r="O56" s="154"/>
      <c r="P56" s="153" t="n">
        <v>7.91</v>
      </c>
    </row>
    <row r="57" customFormat="false" ht="15" hidden="false" customHeight="false" outlineLevel="0" collapsed="false">
      <c r="A57" s="155" t="s">
        <v>177</v>
      </c>
      <c r="B57" s="153" t="n">
        <v>4.69</v>
      </c>
      <c r="C57" s="154"/>
      <c r="D57" s="154"/>
      <c r="E57" s="153" t="n">
        <v>4.69</v>
      </c>
      <c r="F57" s="154"/>
      <c r="G57" s="154"/>
      <c r="H57" s="153" t="n">
        <v>4.69</v>
      </c>
      <c r="I57" s="154"/>
      <c r="J57" s="154"/>
      <c r="K57" s="154"/>
      <c r="L57" s="154"/>
      <c r="M57" s="154"/>
      <c r="N57" s="154"/>
      <c r="O57" s="154"/>
      <c r="P57" s="154"/>
    </row>
    <row r="58" customFormat="false" ht="15" hidden="false" customHeight="false" outlineLevel="0" collapsed="false">
      <c r="A58" s="155" t="s">
        <v>205</v>
      </c>
      <c r="B58" s="154"/>
      <c r="C58" s="154"/>
      <c r="D58" s="154"/>
      <c r="E58" s="154"/>
      <c r="F58" s="154"/>
      <c r="G58" s="154"/>
      <c r="H58" s="154"/>
      <c r="I58" s="154"/>
      <c r="J58" s="154"/>
      <c r="K58" s="154"/>
      <c r="L58" s="154"/>
      <c r="M58" s="154"/>
      <c r="N58" s="154"/>
      <c r="O58" s="154"/>
      <c r="P58" s="154"/>
    </row>
    <row r="59" customFormat="false" ht="15" hidden="false" customHeight="false" outlineLevel="0" collapsed="false">
      <c r="A59" s="155" t="s">
        <v>233</v>
      </c>
      <c r="B59" s="154"/>
      <c r="C59" s="154"/>
      <c r="D59" s="154"/>
      <c r="E59" s="154"/>
      <c r="F59" s="154"/>
      <c r="G59" s="154"/>
      <c r="H59" s="154"/>
      <c r="I59" s="154"/>
      <c r="J59" s="154"/>
      <c r="K59" s="154"/>
      <c r="L59" s="154"/>
      <c r="M59" s="154"/>
      <c r="N59" s="154"/>
      <c r="O59" s="154"/>
      <c r="P59" s="154"/>
    </row>
    <row r="60" customFormat="false" ht="15" hidden="false" customHeight="false" outlineLevel="0" collapsed="false">
      <c r="A60" s="155" t="s">
        <v>186</v>
      </c>
      <c r="B60" s="154"/>
      <c r="C60" s="154"/>
      <c r="D60" s="154"/>
      <c r="E60" s="154"/>
      <c r="F60" s="154"/>
      <c r="G60" s="154"/>
      <c r="H60" s="154"/>
      <c r="I60" s="154"/>
      <c r="J60" s="154"/>
      <c r="K60" s="154"/>
      <c r="L60" s="154"/>
      <c r="M60" s="154"/>
      <c r="N60" s="154"/>
      <c r="O60" s="154"/>
      <c r="P60" s="154"/>
    </row>
    <row r="61" customFormat="false" ht="15" hidden="false" customHeight="false" outlineLevel="0" collapsed="false">
      <c r="A61" s="155" t="s">
        <v>215</v>
      </c>
      <c r="B61" s="154"/>
      <c r="C61" s="154"/>
      <c r="D61" s="154"/>
      <c r="E61" s="154"/>
      <c r="F61" s="154"/>
      <c r="G61" s="154"/>
      <c r="H61" s="154"/>
      <c r="I61" s="154"/>
      <c r="J61" s="154"/>
      <c r="K61" s="154"/>
      <c r="L61" s="154"/>
      <c r="M61" s="154"/>
      <c r="N61" s="154"/>
      <c r="O61" s="154"/>
      <c r="P61" s="154"/>
    </row>
    <row r="62" customFormat="false" ht="15" hidden="false" customHeight="false" outlineLevel="0" collapsed="false">
      <c r="A62" s="155" t="s">
        <v>243</v>
      </c>
      <c r="B62" s="154"/>
      <c r="C62" s="154"/>
      <c r="D62" s="154"/>
      <c r="E62" s="154"/>
      <c r="F62" s="154"/>
      <c r="G62" s="154"/>
      <c r="H62" s="154"/>
      <c r="I62" s="154"/>
      <c r="J62" s="154"/>
      <c r="K62" s="154"/>
      <c r="L62" s="154"/>
      <c r="M62" s="154"/>
      <c r="N62" s="154"/>
      <c r="O62" s="154"/>
      <c r="P62" s="154"/>
    </row>
    <row r="63" customFormat="false" ht="15" hidden="false" customHeight="false" outlineLevel="0" collapsed="false">
      <c r="A63" s="155" t="s">
        <v>195</v>
      </c>
      <c r="B63" s="154"/>
      <c r="C63" s="154"/>
      <c r="D63" s="154"/>
      <c r="E63" s="154"/>
      <c r="F63" s="154"/>
      <c r="G63" s="154"/>
      <c r="H63" s="154"/>
      <c r="I63" s="154"/>
      <c r="J63" s="154"/>
      <c r="K63" s="154"/>
      <c r="L63" s="154"/>
      <c r="M63" s="154"/>
      <c r="N63" s="154"/>
      <c r="O63" s="154"/>
      <c r="P63" s="154"/>
    </row>
    <row r="64" customFormat="false" ht="15" hidden="false" customHeight="false" outlineLevel="0" collapsed="false">
      <c r="A64" s="155" t="s">
        <v>223</v>
      </c>
      <c r="B64" s="154"/>
      <c r="C64" s="154"/>
      <c r="D64" s="154"/>
      <c r="E64" s="154"/>
      <c r="F64" s="154"/>
      <c r="G64" s="154"/>
      <c r="H64" s="154"/>
      <c r="I64" s="154"/>
      <c r="J64" s="154"/>
      <c r="K64" s="154"/>
      <c r="L64" s="154"/>
      <c r="M64" s="154"/>
      <c r="N64" s="154"/>
      <c r="O64" s="154"/>
      <c r="P64" s="154"/>
    </row>
    <row r="65" customFormat="false" ht="15" hidden="false" customHeight="false" outlineLevel="0" collapsed="false">
      <c r="A65" s="155" t="s">
        <v>250</v>
      </c>
      <c r="B65" s="154"/>
      <c r="C65" s="154"/>
      <c r="D65" s="153" t="n">
        <v>7.91</v>
      </c>
      <c r="E65" s="154"/>
      <c r="F65" s="154"/>
      <c r="G65" s="153" t="n">
        <v>7.91</v>
      </c>
      <c r="H65" s="154"/>
      <c r="I65" s="154"/>
      <c r="J65" s="154"/>
      <c r="K65" s="154"/>
      <c r="L65" s="154"/>
      <c r="M65" s="154"/>
      <c r="N65" s="154"/>
      <c r="O65" s="154"/>
      <c r="P65" s="153" t="n">
        <v>7.91</v>
      </c>
    </row>
    <row r="68" customFormat="false" ht="15" hidden="false" customHeight="false" outlineLevel="0" collapsed="false">
      <c r="A68" s="148" t="s">
        <v>909</v>
      </c>
      <c r="B68" s="148"/>
      <c r="C68" s="148"/>
      <c r="D68" s="148"/>
      <c r="E68" s="148"/>
      <c r="F68" s="148"/>
      <c r="G68" s="148"/>
      <c r="H68" s="148"/>
      <c r="I68" s="148"/>
      <c r="J68" s="148"/>
      <c r="K68" s="148"/>
      <c r="L68" s="148"/>
      <c r="M68" s="148"/>
      <c r="N68" s="148"/>
      <c r="O68" s="148"/>
      <c r="P68" s="148"/>
      <c r="R68" s="148" t="s">
        <v>910</v>
      </c>
      <c r="S68" s="148"/>
      <c r="T68" s="148"/>
    </row>
    <row r="69" customFormat="false" ht="15" hidden="false" customHeight="false" outlineLevel="0" collapsed="false">
      <c r="A69" s="123"/>
      <c r="B69" s="149" t="s">
        <v>112</v>
      </c>
      <c r="C69" s="149" t="s">
        <v>115</v>
      </c>
      <c r="D69" s="149" t="s">
        <v>119</v>
      </c>
      <c r="E69" s="149" t="s">
        <v>121</v>
      </c>
      <c r="F69" s="149" t="s">
        <v>123</v>
      </c>
      <c r="G69" s="149" t="s">
        <v>125</v>
      </c>
      <c r="H69" s="150" t="s">
        <v>168</v>
      </c>
      <c r="I69" s="150" t="s">
        <v>169</v>
      </c>
      <c r="J69" s="150" t="s">
        <v>170</v>
      </c>
      <c r="K69" s="150" t="s">
        <v>171</v>
      </c>
      <c r="L69" s="150" t="s">
        <v>172</v>
      </c>
      <c r="M69" s="150" t="s">
        <v>173</v>
      </c>
      <c r="N69" s="150" t="s">
        <v>174</v>
      </c>
      <c r="O69" s="150" t="s">
        <v>175</v>
      </c>
      <c r="P69" s="150" t="s">
        <v>176</v>
      </c>
      <c r="R69" s="151"/>
      <c r="S69" s="150" t="s">
        <v>112</v>
      </c>
      <c r="T69" s="150" t="s">
        <v>121</v>
      </c>
    </row>
    <row r="70" customFormat="false" ht="15" hidden="false" customHeight="false" outlineLevel="0" collapsed="false">
      <c r="A70" s="152" t="s">
        <v>33</v>
      </c>
      <c r="B70" s="154"/>
      <c r="C70" s="154"/>
      <c r="D70" s="154"/>
      <c r="E70" s="154"/>
      <c r="F70" s="154"/>
      <c r="G70" s="154"/>
      <c r="H70" s="154"/>
      <c r="I70" s="154"/>
      <c r="J70" s="154"/>
      <c r="K70" s="154"/>
      <c r="L70" s="154"/>
      <c r="M70" s="154"/>
      <c r="N70" s="154"/>
      <c r="O70" s="154"/>
      <c r="P70" s="154"/>
      <c r="R70" s="155" t="s">
        <v>33</v>
      </c>
      <c r="S70" s="153" t="n">
        <v>0</v>
      </c>
      <c r="T70" s="153" t="n">
        <v>0</v>
      </c>
    </row>
    <row r="71" customFormat="false" ht="15" hidden="false" customHeight="false" outlineLevel="0" collapsed="false">
      <c r="A71" s="152" t="s">
        <v>96</v>
      </c>
      <c r="B71" s="154"/>
      <c r="C71" s="154"/>
      <c r="D71" s="154"/>
      <c r="E71" s="154"/>
      <c r="F71" s="154"/>
      <c r="G71" s="154"/>
      <c r="H71" s="154"/>
      <c r="I71" s="154"/>
      <c r="J71" s="154"/>
      <c r="K71" s="154"/>
      <c r="L71" s="154"/>
      <c r="M71" s="154"/>
      <c r="N71" s="154"/>
      <c r="O71" s="154"/>
      <c r="P71" s="154"/>
      <c r="R71" s="155" t="s">
        <v>177</v>
      </c>
      <c r="S71" s="153" t="n">
        <v>0</v>
      </c>
      <c r="T71" s="153" t="n">
        <v>0</v>
      </c>
    </row>
    <row r="72" customFormat="false" ht="15" hidden="false" customHeight="false" outlineLevel="0" collapsed="false">
      <c r="A72" s="152" t="s">
        <v>34</v>
      </c>
      <c r="B72" s="154"/>
      <c r="C72" s="154"/>
      <c r="D72" s="154"/>
      <c r="E72" s="154"/>
      <c r="F72" s="154"/>
      <c r="G72" s="154"/>
      <c r="H72" s="154"/>
      <c r="I72" s="154"/>
      <c r="J72" s="154"/>
      <c r="K72" s="154"/>
      <c r="L72" s="154"/>
      <c r="M72" s="154"/>
      <c r="N72" s="154"/>
      <c r="O72" s="154"/>
      <c r="P72" s="154"/>
    </row>
    <row r="73" customFormat="false" ht="15" hidden="false" customHeight="false" outlineLevel="0" collapsed="false">
      <c r="A73" s="152" t="s">
        <v>97</v>
      </c>
      <c r="B73" s="154"/>
      <c r="C73" s="154"/>
      <c r="D73" s="154"/>
      <c r="E73" s="154"/>
      <c r="F73" s="154"/>
      <c r="G73" s="154"/>
      <c r="H73" s="154"/>
      <c r="I73" s="154"/>
      <c r="J73" s="154"/>
      <c r="K73" s="154"/>
      <c r="L73" s="154"/>
      <c r="M73" s="154"/>
      <c r="N73" s="154"/>
      <c r="O73" s="154"/>
      <c r="P73" s="154"/>
    </row>
    <row r="74" customFormat="false" ht="15" hidden="false" customHeight="false" outlineLevel="0" collapsed="false">
      <c r="A74" s="152" t="s">
        <v>98</v>
      </c>
      <c r="B74" s="154"/>
      <c r="C74" s="154"/>
      <c r="D74" s="154"/>
      <c r="E74" s="154"/>
      <c r="F74" s="154"/>
      <c r="G74" s="154"/>
      <c r="H74" s="154"/>
      <c r="I74" s="154"/>
      <c r="J74" s="154"/>
      <c r="K74" s="154"/>
      <c r="L74" s="154"/>
      <c r="M74" s="154"/>
      <c r="N74" s="154"/>
      <c r="O74" s="154"/>
      <c r="P74" s="154"/>
    </row>
    <row r="75" customFormat="false" ht="15" hidden="false" customHeight="false" outlineLevel="0" collapsed="false">
      <c r="A75" s="152" t="s">
        <v>99</v>
      </c>
      <c r="B75" s="154"/>
      <c r="C75" s="154"/>
      <c r="D75" s="154"/>
      <c r="E75" s="154"/>
      <c r="F75" s="154"/>
      <c r="G75" s="154"/>
      <c r="H75" s="154"/>
      <c r="I75" s="154"/>
      <c r="J75" s="154"/>
      <c r="K75" s="154"/>
      <c r="L75" s="154"/>
      <c r="M75" s="154"/>
      <c r="N75" s="154"/>
      <c r="O75" s="154"/>
      <c r="P75" s="154"/>
    </row>
    <row r="76" customFormat="false" ht="15" hidden="false" customHeight="false" outlineLevel="0" collapsed="false">
      <c r="A76" s="155" t="s">
        <v>177</v>
      </c>
      <c r="B76" s="154"/>
      <c r="C76" s="154"/>
      <c r="D76" s="154"/>
      <c r="E76" s="154"/>
      <c r="F76" s="154"/>
      <c r="G76" s="154"/>
      <c r="H76" s="154"/>
      <c r="I76" s="154"/>
      <c r="J76" s="154"/>
      <c r="K76" s="154"/>
      <c r="L76" s="154"/>
      <c r="M76" s="154"/>
      <c r="N76" s="154"/>
      <c r="O76" s="154"/>
      <c r="P76" s="154"/>
    </row>
    <row r="77" customFormat="false" ht="15" hidden="false" customHeight="false" outlineLevel="0" collapsed="false">
      <c r="A77" s="155" t="s">
        <v>205</v>
      </c>
      <c r="B77" s="154"/>
      <c r="C77" s="154"/>
      <c r="D77" s="154"/>
      <c r="E77" s="154"/>
      <c r="F77" s="154"/>
      <c r="G77" s="154"/>
      <c r="H77" s="154"/>
      <c r="I77" s="154"/>
      <c r="J77" s="154"/>
      <c r="K77" s="154"/>
      <c r="L77" s="154"/>
      <c r="M77" s="154"/>
      <c r="N77" s="154"/>
      <c r="O77" s="154"/>
      <c r="P77" s="154"/>
    </row>
    <row r="78" customFormat="false" ht="15" hidden="false" customHeight="false" outlineLevel="0" collapsed="false">
      <c r="A78" s="155" t="s">
        <v>233</v>
      </c>
      <c r="B78" s="154"/>
      <c r="C78" s="154"/>
      <c r="D78" s="154"/>
      <c r="E78" s="154"/>
      <c r="F78" s="154"/>
      <c r="G78" s="154"/>
      <c r="H78" s="154"/>
      <c r="I78" s="154"/>
      <c r="J78" s="154"/>
      <c r="K78" s="154"/>
      <c r="L78" s="154"/>
      <c r="M78" s="154"/>
      <c r="N78" s="154"/>
      <c r="O78" s="154"/>
      <c r="P78" s="154"/>
    </row>
    <row r="79" customFormat="false" ht="15" hidden="false" customHeight="false" outlineLevel="0" collapsed="false">
      <c r="A79" s="155" t="s">
        <v>186</v>
      </c>
      <c r="B79" s="154"/>
      <c r="C79" s="154"/>
      <c r="D79" s="154"/>
      <c r="E79" s="154"/>
      <c r="F79" s="154"/>
      <c r="G79" s="154"/>
      <c r="H79" s="154"/>
      <c r="I79" s="154"/>
      <c r="J79" s="154"/>
      <c r="K79" s="154"/>
      <c r="L79" s="154"/>
      <c r="M79" s="154"/>
      <c r="N79" s="154"/>
      <c r="O79" s="154"/>
      <c r="P79" s="154"/>
    </row>
    <row r="80" customFormat="false" ht="15" hidden="false" customHeight="false" outlineLevel="0" collapsed="false">
      <c r="A80" s="155" t="s">
        <v>215</v>
      </c>
      <c r="B80" s="154"/>
      <c r="C80" s="154"/>
      <c r="D80" s="154"/>
      <c r="E80" s="154"/>
      <c r="F80" s="154"/>
      <c r="G80" s="154"/>
      <c r="H80" s="154"/>
      <c r="I80" s="154"/>
      <c r="J80" s="154"/>
      <c r="K80" s="154"/>
      <c r="L80" s="154"/>
      <c r="M80" s="154"/>
      <c r="N80" s="154"/>
      <c r="O80" s="154"/>
      <c r="P80" s="154"/>
    </row>
    <row r="81" customFormat="false" ht="15" hidden="false" customHeight="false" outlineLevel="0" collapsed="false">
      <c r="A81" s="155" t="s">
        <v>243</v>
      </c>
      <c r="B81" s="154"/>
      <c r="C81" s="154"/>
      <c r="D81" s="154"/>
      <c r="E81" s="154"/>
      <c r="F81" s="154"/>
      <c r="G81" s="154"/>
      <c r="H81" s="154"/>
      <c r="I81" s="154"/>
      <c r="J81" s="154"/>
      <c r="K81" s="154"/>
      <c r="L81" s="154"/>
      <c r="M81" s="154"/>
      <c r="N81" s="154"/>
      <c r="O81" s="154"/>
      <c r="P81" s="154"/>
    </row>
    <row r="82" customFormat="false" ht="15" hidden="false" customHeight="false" outlineLevel="0" collapsed="false">
      <c r="A82" s="155" t="s">
        <v>195</v>
      </c>
      <c r="B82" s="154"/>
      <c r="C82" s="154"/>
      <c r="D82" s="154"/>
      <c r="E82" s="154"/>
      <c r="F82" s="154"/>
      <c r="G82" s="154"/>
      <c r="H82" s="154"/>
      <c r="I82" s="154"/>
      <c r="J82" s="154"/>
      <c r="K82" s="154"/>
      <c r="L82" s="154"/>
      <c r="M82" s="154"/>
      <c r="N82" s="154"/>
      <c r="O82" s="154"/>
      <c r="P82" s="154"/>
    </row>
    <row r="83" customFormat="false" ht="15" hidden="false" customHeight="false" outlineLevel="0" collapsed="false">
      <c r="A83" s="155" t="s">
        <v>223</v>
      </c>
      <c r="B83" s="154"/>
      <c r="C83" s="154"/>
      <c r="D83" s="154"/>
      <c r="E83" s="154"/>
      <c r="F83" s="154"/>
      <c r="G83" s="154"/>
      <c r="H83" s="154"/>
      <c r="I83" s="154"/>
      <c r="J83" s="154"/>
      <c r="K83" s="154"/>
      <c r="L83" s="154"/>
      <c r="M83" s="154"/>
      <c r="N83" s="154"/>
      <c r="O83" s="154"/>
      <c r="P83" s="154"/>
    </row>
    <row r="84" customFormat="false" ht="15" hidden="false" customHeight="false" outlineLevel="0" collapsed="false">
      <c r="A84" s="155" t="s">
        <v>250</v>
      </c>
      <c r="B84" s="154"/>
      <c r="C84" s="154"/>
      <c r="D84" s="154"/>
      <c r="E84" s="154"/>
      <c r="F84" s="154"/>
      <c r="G84" s="154"/>
      <c r="H84" s="154"/>
      <c r="I84" s="154"/>
      <c r="J84" s="154"/>
      <c r="K84" s="154"/>
      <c r="L84" s="154"/>
      <c r="M84" s="154"/>
      <c r="N84" s="154"/>
      <c r="O84" s="154"/>
      <c r="P84" s="154"/>
    </row>
  </sheetData>
  <mergeCells count="11">
    <mergeCell ref="C1:E3"/>
    <mergeCell ref="C4:E5"/>
    <mergeCell ref="A8:P9"/>
    <mergeCell ref="A11:P11"/>
    <mergeCell ref="R11:T11"/>
    <mergeCell ref="A30:P30"/>
    <mergeCell ref="R30:T30"/>
    <mergeCell ref="A49:P49"/>
    <mergeCell ref="R49:T49"/>
    <mergeCell ref="A68:P68"/>
    <mergeCell ref="R68:T6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91"/>
  <sheetViews>
    <sheetView showFormulas="false" showGridLines="true" showRowColHeaders="true" showZeros="true" rightToLeft="false" tabSelected="false" showOutlineSymbols="true" defaultGridColor="true" view="normal" topLeftCell="A1" colorId="64" zoomScale="197" zoomScaleNormal="197" zoomScalePageLayoutView="100" workbookViewId="0">
      <selection pane="topLeft" activeCell="A1" activeCellId="0" sqref="A1"/>
    </sheetView>
  </sheetViews>
  <sheetFormatPr defaultColWidth="8.60546875" defaultRowHeight="15" customHeight="false" zeroHeight="false" outlineLevelRow="0" outlineLevelCol="0"/>
  <sheetData>
    <row r="1" customFormat="false" ht="19.5" hidden="false" customHeight="true" outlineLevel="0" collapsed="false">
      <c r="A1" s="1"/>
      <c r="B1" s="1"/>
      <c r="C1" s="2" t="s">
        <v>911</v>
      </c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customFormat="false" ht="19.5" hidden="false" customHeight="true" outlineLevel="0" collapsed="false">
      <c r="A2" s="1"/>
      <c r="B2" s="1"/>
      <c r="C2" s="2"/>
      <c r="D2" s="2"/>
      <c r="E2" s="2"/>
      <c r="F2" s="3"/>
      <c r="G2" s="4" t="s">
        <v>1</v>
      </c>
      <c r="H2" s="5" t="s">
        <v>2</v>
      </c>
      <c r="I2" s="3"/>
      <c r="J2" s="3"/>
      <c r="K2" s="3"/>
      <c r="L2" s="3"/>
      <c r="M2" s="3"/>
      <c r="N2" s="3"/>
      <c r="O2" s="3"/>
      <c r="P2" s="3"/>
      <c r="Q2" s="3"/>
      <c r="R2" s="3"/>
    </row>
    <row r="3" customFormat="false" ht="19.5" hidden="false" customHeight="true" outlineLevel="0" collapsed="false">
      <c r="A3" s="1"/>
      <c r="B3" s="1"/>
      <c r="C3" s="2"/>
      <c r="D3" s="2"/>
      <c r="E3" s="2"/>
      <c r="F3" s="3"/>
      <c r="G3" s="4" t="s">
        <v>3</v>
      </c>
      <c r="H3" s="5" t="s">
        <v>4</v>
      </c>
      <c r="I3" s="3"/>
      <c r="J3" s="3"/>
      <c r="K3" s="4" t="s">
        <v>5</v>
      </c>
      <c r="L3" s="6" t="s">
        <v>6</v>
      </c>
      <c r="M3" s="3"/>
      <c r="N3" s="3"/>
      <c r="O3" s="3"/>
      <c r="P3" s="3"/>
      <c r="Q3" s="3"/>
      <c r="R3" s="3"/>
    </row>
    <row r="4" customFormat="false" ht="19.5" hidden="false" customHeight="true" outlineLevel="0" collapsed="false">
      <c r="A4" s="1"/>
      <c r="B4" s="1"/>
      <c r="C4" s="7" t="s">
        <v>7</v>
      </c>
      <c r="D4" s="7"/>
      <c r="E4" s="7"/>
      <c r="F4" s="3"/>
      <c r="G4" s="4" t="s">
        <v>8</v>
      </c>
      <c r="H4" s="5" t="s">
        <v>9</v>
      </c>
      <c r="I4" s="3"/>
      <c r="J4" s="3"/>
      <c r="K4" s="4" t="s">
        <v>10</v>
      </c>
      <c r="L4" s="6" t="s">
        <v>11</v>
      </c>
      <c r="M4" s="3"/>
      <c r="N4" s="3"/>
      <c r="O4" s="3"/>
      <c r="P4" s="3"/>
      <c r="Q4" s="3"/>
      <c r="R4" s="3"/>
    </row>
    <row r="5" customFormat="false" ht="19.5" hidden="false" customHeight="true" outlineLevel="0" collapsed="false">
      <c r="A5" s="8"/>
      <c r="B5" s="8"/>
      <c r="C5" s="7"/>
      <c r="D5" s="7"/>
      <c r="E5" s="7"/>
      <c r="F5" s="9"/>
      <c r="G5" s="10" t="s">
        <v>12</v>
      </c>
      <c r="H5" s="11" t="s">
        <v>13</v>
      </c>
      <c r="I5" s="9"/>
      <c r="J5" s="9"/>
      <c r="K5" s="10" t="s">
        <v>14</v>
      </c>
      <c r="L5" s="12" t="s">
        <v>15</v>
      </c>
      <c r="M5" s="9"/>
      <c r="N5" s="9"/>
      <c r="O5" s="9"/>
      <c r="P5" s="9"/>
      <c r="Q5" s="9"/>
      <c r="R5" s="9"/>
    </row>
    <row r="8" customFormat="false" ht="15" hidden="false" customHeight="false" outlineLevel="0" collapsed="false">
      <c r="A8" s="148" t="s">
        <v>912</v>
      </c>
      <c r="B8" s="148"/>
      <c r="C8" s="148"/>
      <c r="D8" s="148"/>
      <c r="E8" s="148"/>
      <c r="F8" s="148"/>
      <c r="G8" s="148"/>
      <c r="H8" s="148"/>
      <c r="I8" s="148"/>
      <c r="J8" s="148"/>
      <c r="K8" s="148"/>
      <c r="L8" s="148"/>
      <c r="M8" s="148"/>
      <c r="N8" s="148"/>
      <c r="O8" s="148"/>
      <c r="P8" s="148"/>
      <c r="Q8" s="148"/>
      <c r="W8" s="148" t="s">
        <v>913</v>
      </c>
      <c r="X8" s="148"/>
      <c r="Y8" s="148"/>
      <c r="Z8" s="148"/>
      <c r="AA8" s="148"/>
      <c r="AB8" s="148"/>
      <c r="AC8" s="148"/>
      <c r="AD8" s="148"/>
      <c r="AE8" s="148"/>
      <c r="AF8" s="148"/>
      <c r="AG8" s="148"/>
      <c r="AH8" s="148"/>
      <c r="AI8" s="148"/>
      <c r="AJ8" s="148"/>
      <c r="AK8" s="148"/>
      <c r="AL8" s="148"/>
      <c r="AM8" s="148"/>
    </row>
    <row r="9" customFormat="false" ht="15" hidden="false" customHeight="false" outlineLevel="0" collapsed="false">
      <c r="A9" s="123"/>
      <c r="B9" s="149" t="s">
        <v>112</v>
      </c>
      <c r="C9" s="149" t="s">
        <v>115</v>
      </c>
      <c r="D9" s="149" t="s">
        <v>119</v>
      </c>
      <c r="E9" s="149" t="s">
        <v>121</v>
      </c>
      <c r="F9" s="149" t="s">
        <v>123</v>
      </c>
      <c r="G9" s="149" t="s">
        <v>125</v>
      </c>
      <c r="H9" s="150" t="s">
        <v>168</v>
      </c>
      <c r="I9" s="150" t="s">
        <v>169</v>
      </c>
      <c r="J9" s="150" t="s">
        <v>170</v>
      </c>
      <c r="K9" s="150" t="s">
        <v>171</v>
      </c>
      <c r="L9" s="150" t="s">
        <v>172</v>
      </c>
      <c r="M9" s="150" t="s">
        <v>173</v>
      </c>
      <c r="N9" s="150" t="s">
        <v>174</v>
      </c>
      <c r="O9" s="150" t="s">
        <v>175</v>
      </c>
      <c r="P9" s="150" t="s">
        <v>176</v>
      </c>
      <c r="Q9" s="157" t="s">
        <v>914</v>
      </c>
      <c r="W9" s="123"/>
      <c r="X9" s="149" t="s">
        <v>112</v>
      </c>
      <c r="Y9" s="149" t="s">
        <v>115</v>
      </c>
      <c r="Z9" s="149" t="s">
        <v>119</v>
      </c>
      <c r="AA9" s="149" t="s">
        <v>121</v>
      </c>
      <c r="AB9" s="149" t="s">
        <v>123</v>
      </c>
      <c r="AC9" s="149" t="s">
        <v>125</v>
      </c>
      <c r="AD9" s="150" t="s">
        <v>168</v>
      </c>
      <c r="AE9" s="150" t="s">
        <v>169</v>
      </c>
      <c r="AF9" s="150" t="s">
        <v>170</v>
      </c>
      <c r="AG9" s="150" t="s">
        <v>171</v>
      </c>
      <c r="AH9" s="150" t="s">
        <v>172</v>
      </c>
      <c r="AI9" s="150" t="s">
        <v>173</v>
      </c>
      <c r="AJ9" s="150" t="s">
        <v>174</v>
      </c>
      <c r="AK9" s="150" t="s">
        <v>175</v>
      </c>
      <c r="AL9" s="150" t="s">
        <v>176</v>
      </c>
      <c r="AM9" s="157" t="s">
        <v>914</v>
      </c>
    </row>
    <row r="10" customFormat="false" ht="15" hidden="false" customHeight="false" outlineLevel="0" collapsed="false">
      <c r="A10" s="152" t="s">
        <v>33</v>
      </c>
      <c r="B10" s="156" t="n">
        <v>2</v>
      </c>
      <c r="C10" s="154"/>
      <c r="D10" s="154"/>
      <c r="E10" s="156" t="n">
        <v>2</v>
      </c>
      <c r="F10" s="154"/>
      <c r="G10" s="154"/>
      <c r="H10" s="156" t="n">
        <v>2</v>
      </c>
      <c r="I10" s="154"/>
      <c r="J10" s="154"/>
      <c r="K10" s="154"/>
      <c r="L10" s="154"/>
      <c r="M10" s="154"/>
      <c r="N10" s="154"/>
      <c r="O10" s="154"/>
      <c r="P10" s="154"/>
      <c r="Q10" s="158" t="n">
        <v>6</v>
      </c>
      <c r="W10" s="152" t="s">
        <v>33</v>
      </c>
      <c r="X10" s="153" t="n">
        <v>4.69</v>
      </c>
      <c r="Y10" s="154"/>
      <c r="Z10" s="154"/>
      <c r="AA10" s="153" t="n">
        <v>4.69</v>
      </c>
      <c r="AB10" s="154"/>
      <c r="AC10" s="154"/>
      <c r="AD10" s="153" t="n">
        <v>4.69</v>
      </c>
      <c r="AE10" s="154"/>
      <c r="AF10" s="154"/>
      <c r="AG10" s="154"/>
      <c r="AH10" s="154"/>
      <c r="AI10" s="154"/>
      <c r="AJ10" s="154"/>
      <c r="AK10" s="154"/>
      <c r="AL10" s="154"/>
      <c r="AM10" s="159" t="n">
        <v>14.07</v>
      </c>
    </row>
    <row r="11" customFormat="false" ht="15" hidden="false" customHeight="false" outlineLevel="0" collapsed="false">
      <c r="A11" s="152" t="s">
        <v>96</v>
      </c>
      <c r="B11" s="154"/>
      <c r="C11" s="154"/>
      <c r="D11" s="154"/>
      <c r="E11" s="154"/>
      <c r="F11" s="154"/>
      <c r="G11" s="154"/>
      <c r="H11" s="154"/>
      <c r="I11" s="154"/>
      <c r="J11" s="154"/>
      <c r="K11" s="154"/>
      <c r="L11" s="154"/>
      <c r="M11" s="154"/>
      <c r="N11" s="154"/>
      <c r="O11" s="154"/>
      <c r="P11" s="154"/>
      <c r="Q11" s="154"/>
      <c r="W11" s="152" t="s">
        <v>96</v>
      </c>
      <c r="X11" s="154"/>
      <c r="Y11" s="154"/>
      <c r="Z11" s="154"/>
      <c r="AA11" s="154"/>
      <c r="AB11" s="154"/>
      <c r="AC11" s="154"/>
      <c r="AD11" s="154"/>
      <c r="AE11" s="154"/>
      <c r="AF11" s="154"/>
      <c r="AG11" s="154"/>
      <c r="AH11" s="154"/>
      <c r="AI11" s="154"/>
      <c r="AJ11" s="154"/>
      <c r="AK11" s="154"/>
      <c r="AL11" s="154"/>
      <c r="AM11" s="154"/>
    </row>
    <row r="12" customFormat="false" ht="15" hidden="false" customHeight="false" outlineLevel="0" collapsed="false">
      <c r="A12" s="152" t="s">
        <v>34</v>
      </c>
      <c r="B12" s="154"/>
      <c r="C12" s="154"/>
      <c r="D12" s="156" t="n">
        <v>4</v>
      </c>
      <c r="E12" s="154"/>
      <c r="F12" s="154"/>
      <c r="G12" s="156" t="n">
        <v>4</v>
      </c>
      <c r="H12" s="154"/>
      <c r="I12" s="154"/>
      <c r="J12" s="154"/>
      <c r="K12" s="154"/>
      <c r="L12" s="154"/>
      <c r="M12" s="154"/>
      <c r="N12" s="154"/>
      <c r="O12" s="154"/>
      <c r="P12" s="156" t="n">
        <v>4</v>
      </c>
      <c r="Q12" s="158" t="n">
        <v>12</v>
      </c>
      <c r="W12" s="152" t="s">
        <v>34</v>
      </c>
      <c r="X12" s="154"/>
      <c r="Y12" s="154"/>
      <c r="Z12" s="153" t="n">
        <v>7.91</v>
      </c>
      <c r="AA12" s="154"/>
      <c r="AB12" s="154"/>
      <c r="AC12" s="153" t="n">
        <v>7.91</v>
      </c>
      <c r="AD12" s="154"/>
      <c r="AE12" s="154"/>
      <c r="AF12" s="154"/>
      <c r="AG12" s="154"/>
      <c r="AH12" s="154"/>
      <c r="AI12" s="154"/>
      <c r="AJ12" s="154"/>
      <c r="AK12" s="154"/>
      <c r="AL12" s="153" t="n">
        <v>7.91</v>
      </c>
      <c r="AM12" s="159" t="n">
        <v>23.73</v>
      </c>
    </row>
    <row r="13" customFormat="false" ht="15" hidden="false" customHeight="false" outlineLevel="0" collapsed="false">
      <c r="A13" s="152" t="s">
        <v>97</v>
      </c>
      <c r="B13" s="156" t="n">
        <v>2</v>
      </c>
      <c r="C13" s="154"/>
      <c r="D13" s="154"/>
      <c r="E13" s="156" t="n">
        <v>2</v>
      </c>
      <c r="F13" s="154"/>
      <c r="G13" s="154"/>
      <c r="H13" s="156" t="n">
        <v>2</v>
      </c>
      <c r="I13" s="154"/>
      <c r="J13" s="154"/>
      <c r="K13" s="154"/>
      <c r="L13" s="154"/>
      <c r="M13" s="154"/>
      <c r="N13" s="154"/>
      <c r="O13" s="154"/>
      <c r="P13" s="154"/>
      <c r="Q13" s="158" t="n">
        <v>6</v>
      </c>
      <c r="W13" s="152" t="s">
        <v>97</v>
      </c>
      <c r="X13" s="153" t="n">
        <v>4.69</v>
      </c>
      <c r="Y13" s="154"/>
      <c r="Z13" s="154"/>
      <c r="AA13" s="153" t="n">
        <v>4.69</v>
      </c>
      <c r="AB13" s="154"/>
      <c r="AC13" s="154"/>
      <c r="AD13" s="153" t="n">
        <v>4.69</v>
      </c>
      <c r="AE13" s="154"/>
      <c r="AF13" s="154"/>
      <c r="AG13" s="154"/>
      <c r="AH13" s="154"/>
      <c r="AI13" s="154"/>
      <c r="AJ13" s="154"/>
      <c r="AK13" s="154"/>
      <c r="AL13" s="154"/>
      <c r="AM13" s="159" t="n">
        <v>14.07</v>
      </c>
    </row>
    <row r="14" customFormat="false" ht="15" hidden="false" customHeight="false" outlineLevel="0" collapsed="false">
      <c r="A14" s="152" t="s">
        <v>98</v>
      </c>
      <c r="B14" s="154"/>
      <c r="C14" s="154"/>
      <c r="D14" s="154"/>
      <c r="E14" s="154"/>
      <c r="F14" s="154"/>
      <c r="G14" s="154"/>
      <c r="H14" s="154"/>
      <c r="I14" s="154"/>
      <c r="J14" s="154"/>
      <c r="K14" s="154"/>
      <c r="L14" s="154"/>
      <c r="M14" s="154"/>
      <c r="N14" s="154"/>
      <c r="O14" s="154"/>
      <c r="P14" s="154"/>
      <c r="Q14" s="154"/>
      <c r="W14" s="152" t="s">
        <v>98</v>
      </c>
      <c r="X14" s="154"/>
      <c r="Y14" s="154"/>
      <c r="Z14" s="154"/>
      <c r="AA14" s="154"/>
      <c r="AB14" s="154"/>
      <c r="AC14" s="154"/>
      <c r="AD14" s="154"/>
      <c r="AE14" s="154"/>
      <c r="AF14" s="154"/>
      <c r="AG14" s="154"/>
      <c r="AH14" s="154"/>
      <c r="AI14" s="154"/>
      <c r="AJ14" s="154"/>
      <c r="AK14" s="154"/>
      <c r="AL14" s="154"/>
      <c r="AM14" s="154"/>
    </row>
    <row r="15" customFormat="false" ht="15" hidden="false" customHeight="false" outlineLevel="0" collapsed="false">
      <c r="A15" s="152" t="s">
        <v>99</v>
      </c>
      <c r="B15" s="154"/>
      <c r="C15" s="154"/>
      <c r="D15" s="156" t="n">
        <v>4</v>
      </c>
      <c r="E15" s="154"/>
      <c r="F15" s="154"/>
      <c r="G15" s="156" t="n">
        <v>4</v>
      </c>
      <c r="H15" s="154"/>
      <c r="I15" s="154"/>
      <c r="J15" s="154"/>
      <c r="K15" s="154"/>
      <c r="L15" s="154"/>
      <c r="M15" s="154"/>
      <c r="N15" s="154"/>
      <c r="O15" s="154"/>
      <c r="P15" s="156" t="n">
        <v>4</v>
      </c>
      <c r="Q15" s="158" t="n">
        <v>12</v>
      </c>
      <c r="W15" s="152" t="s">
        <v>99</v>
      </c>
      <c r="X15" s="154"/>
      <c r="Y15" s="154"/>
      <c r="Z15" s="153" t="n">
        <v>7.91</v>
      </c>
      <c r="AA15" s="154"/>
      <c r="AB15" s="154"/>
      <c r="AC15" s="153" t="n">
        <v>7.91</v>
      </c>
      <c r="AD15" s="154"/>
      <c r="AE15" s="154"/>
      <c r="AF15" s="154"/>
      <c r="AG15" s="154"/>
      <c r="AH15" s="154"/>
      <c r="AI15" s="154"/>
      <c r="AJ15" s="154"/>
      <c r="AK15" s="154"/>
      <c r="AL15" s="153" t="n">
        <v>7.91</v>
      </c>
      <c r="AM15" s="159" t="n">
        <v>23.73</v>
      </c>
    </row>
    <row r="16" customFormat="false" ht="15" hidden="false" customHeight="false" outlineLevel="0" collapsed="false">
      <c r="A16" s="155" t="s">
        <v>177</v>
      </c>
      <c r="B16" s="156" t="n">
        <v>2</v>
      </c>
      <c r="C16" s="154"/>
      <c r="D16" s="154"/>
      <c r="E16" s="156" t="n">
        <v>2</v>
      </c>
      <c r="F16" s="154"/>
      <c r="G16" s="154"/>
      <c r="H16" s="156" t="n">
        <v>2</v>
      </c>
      <c r="I16" s="154"/>
      <c r="J16" s="154"/>
      <c r="K16" s="154"/>
      <c r="L16" s="154"/>
      <c r="M16" s="154"/>
      <c r="N16" s="154"/>
      <c r="O16" s="154"/>
      <c r="P16" s="154"/>
      <c r="Q16" s="158" t="n">
        <v>6</v>
      </c>
      <c r="W16" s="155" t="s">
        <v>177</v>
      </c>
      <c r="X16" s="153" t="n">
        <v>4.69</v>
      </c>
      <c r="Y16" s="154"/>
      <c r="Z16" s="154"/>
      <c r="AA16" s="153" t="n">
        <v>4.69</v>
      </c>
      <c r="AB16" s="154"/>
      <c r="AC16" s="154"/>
      <c r="AD16" s="153" t="n">
        <v>4.69</v>
      </c>
      <c r="AE16" s="154"/>
      <c r="AF16" s="154"/>
      <c r="AG16" s="154"/>
      <c r="AH16" s="154"/>
      <c r="AI16" s="154"/>
      <c r="AJ16" s="154"/>
      <c r="AK16" s="154"/>
      <c r="AL16" s="154"/>
      <c r="AM16" s="159" t="n">
        <v>14.07</v>
      </c>
    </row>
    <row r="17" customFormat="false" ht="15" hidden="false" customHeight="false" outlineLevel="0" collapsed="false">
      <c r="A17" s="155" t="s">
        <v>205</v>
      </c>
      <c r="B17" s="154"/>
      <c r="C17" s="154"/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154"/>
      <c r="P17" s="154"/>
      <c r="Q17" s="154"/>
      <c r="W17" s="155" t="s">
        <v>205</v>
      </c>
      <c r="X17" s="154"/>
      <c r="Y17" s="154"/>
      <c r="Z17" s="154"/>
      <c r="AA17" s="154"/>
      <c r="AB17" s="154"/>
      <c r="AC17" s="154"/>
      <c r="AD17" s="154"/>
      <c r="AE17" s="154"/>
      <c r="AF17" s="154"/>
      <c r="AG17" s="154"/>
      <c r="AH17" s="154"/>
      <c r="AI17" s="154"/>
      <c r="AJ17" s="154"/>
      <c r="AK17" s="154"/>
      <c r="AL17" s="154"/>
      <c r="AM17" s="154"/>
    </row>
    <row r="18" customFormat="false" ht="15" hidden="false" customHeight="false" outlineLevel="0" collapsed="false">
      <c r="A18" s="155" t="s">
        <v>233</v>
      </c>
      <c r="B18" s="154"/>
      <c r="C18" s="154"/>
      <c r="D18" s="154"/>
      <c r="E18" s="154"/>
      <c r="F18" s="154"/>
      <c r="G18" s="154"/>
      <c r="H18" s="154"/>
      <c r="I18" s="154"/>
      <c r="J18" s="154"/>
      <c r="K18" s="154"/>
      <c r="L18" s="154"/>
      <c r="M18" s="154"/>
      <c r="N18" s="154"/>
      <c r="O18" s="154"/>
      <c r="P18" s="154"/>
      <c r="Q18" s="154"/>
      <c r="W18" s="155" t="s">
        <v>233</v>
      </c>
      <c r="X18" s="154"/>
      <c r="Y18" s="154"/>
      <c r="Z18" s="154"/>
      <c r="AA18" s="154"/>
      <c r="AB18" s="154"/>
      <c r="AC18" s="154"/>
      <c r="AD18" s="154"/>
      <c r="AE18" s="154"/>
      <c r="AF18" s="154"/>
      <c r="AG18" s="154"/>
      <c r="AH18" s="154"/>
      <c r="AI18" s="154"/>
      <c r="AJ18" s="154"/>
      <c r="AK18" s="154"/>
      <c r="AL18" s="154"/>
      <c r="AM18" s="154"/>
    </row>
    <row r="19" customFormat="false" ht="15" hidden="false" customHeight="false" outlineLevel="0" collapsed="false">
      <c r="A19" s="155" t="s">
        <v>186</v>
      </c>
      <c r="B19" s="154"/>
      <c r="C19" s="154"/>
      <c r="D19" s="154"/>
      <c r="E19" s="154"/>
      <c r="F19" s="154"/>
      <c r="G19" s="154"/>
      <c r="H19" s="154"/>
      <c r="I19" s="154"/>
      <c r="J19" s="154"/>
      <c r="K19" s="154"/>
      <c r="L19" s="154"/>
      <c r="M19" s="154"/>
      <c r="N19" s="154"/>
      <c r="O19" s="154"/>
      <c r="P19" s="154"/>
      <c r="Q19" s="154"/>
      <c r="W19" s="155" t="s">
        <v>186</v>
      </c>
      <c r="X19" s="154"/>
      <c r="Y19" s="154"/>
      <c r="Z19" s="154"/>
      <c r="AA19" s="154"/>
      <c r="AB19" s="154"/>
      <c r="AC19" s="154"/>
      <c r="AD19" s="154"/>
      <c r="AE19" s="154"/>
      <c r="AF19" s="154"/>
      <c r="AG19" s="154"/>
      <c r="AH19" s="154"/>
      <c r="AI19" s="154"/>
      <c r="AJ19" s="154"/>
      <c r="AK19" s="154"/>
      <c r="AL19" s="154"/>
      <c r="AM19" s="154"/>
    </row>
    <row r="20" customFormat="false" ht="15" hidden="false" customHeight="false" outlineLevel="0" collapsed="false">
      <c r="A20" s="155" t="s">
        <v>215</v>
      </c>
      <c r="B20" s="154"/>
      <c r="C20" s="154"/>
      <c r="D20" s="154"/>
      <c r="E20" s="154"/>
      <c r="F20" s="154"/>
      <c r="G20" s="154"/>
      <c r="H20" s="154"/>
      <c r="I20" s="154"/>
      <c r="J20" s="154"/>
      <c r="K20" s="154"/>
      <c r="L20" s="154"/>
      <c r="M20" s="154"/>
      <c r="N20" s="154"/>
      <c r="O20" s="154"/>
      <c r="P20" s="154"/>
      <c r="Q20" s="154"/>
      <c r="W20" s="155" t="s">
        <v>215</v>
      </c>
      <c r="X20" s="154"/>
      <c r="Y20" s="154"/>
      <c r="Z20" s="154"/>
      <c r="AA20" s="154"/>
      <c r="AB20" s="154"/>
      <c r="AC20" s="154"/>
      <c r="AD20" s="154"/>
      <c r="AE20" s="154"/>
      <c r="AF20" s="154"/>
      <c r="AG20" s="154"/>
      <c r="AH20" s="154"/>
      <c r="AI20" s="154"/>
      <c r="AJ20" s="154"/>
      <c r="AK20" s="154"/>
      <c r="AL20" s="154"/>
      <c r="AM20" s="154"/>
    </row>
    <row r="21" customFormat="false" ht="15" hidden="false" customHeight="false" outlineLevel="0" collapsed="false">
      <c r="A21" s="155" t="s">
        <v>243</v>
      </c>
      <c r="B21" s="154"/>
      <c r="C21" s="154"/>
      <c r="D21" s="154"/>
      <c r="E21" s="154"/>
      <c r="F21" s="154"/>
      <c r="G21" s="154"/>
      <c r="H21" s="154"/>
      <c r="I21" s="154"/>
      <c r="J21" s="154"/>
      <c r="K21" s="154"/>
      <c r="L21" s="154"/>
      <c r="M21" s="154"/>
      <c r="N21" s="154"/>
      <c r="O21" s="154"/>
      <c r="P21" s="154"/>
      <c r="Q21" s="154"/>
      <c r="W21" s="155" t="s">
        <v>243</v>
      </c>
      <c r="X21" s="154"/>
      <c r="Y21" s="154"/>
      <c r="Z21" s="154"/>
      <c r="AA21" s="154"/>
      <c r="AB21" s="154"/>
      <c r="AC21" s="154"/>
      <c r="AD21" s="154"/>
      <c r="AE21" s="154"/>
      <c r="AF21" s="154"/>
      <c r="AG21" s="154"/>
      <c r="AH21" s="154"/>
      <c r="AI21" s="154"/>
      <c r="AJ21" s="154"/>
      <c r="AK21" s="154"/>
      <c r="AL21" s="154"/>
      <c r="AM21" s="154"/>
    </row>
    <row r="22" customFormat="false" ht="15" hidden="false" customHeight="false" outlineLevel="0" collapsed="false">
      <c r="A22" s="155" t="s">
        <v>195</v>
      </c>
      <c r="B22" s="154"/>
      <c r="C22" s="154"/>
      <c r="D22" s="154"/>
      <c r="E22" s="154"/>
      <c r="F22" s="154"/>
      <c r="G22" s="154"/>
      <c r="H22" s="154"/>
      <c r="I22" s="154"/>
      <c r="J22" s="154"/>
      <c r="K22" s="154"/>
      <c r="L22" s="154"/>
      <c r="M22" s="154"/>
      <c r="N22" s="154"/>
      <c r="O22" s="154"/>
      <c r="P22" s="154"/>
      <c r="Q22" s="154"/>
      <c r="W22" s="155" t="s">
        <v>195</v>
      </c>
      <c r="X22" s="154"/>
      <c r="Y22" s="154"/>
      <c r="Z22" s="154"/>
      <c r="AA22" s="154"/>
      <c r="AB22" s="154"/>
      <c r="AC22" s="154"/>
      <c r="AD22" s="154"/>
      <c r="AE22" s="154"/>
      <c r="AF22" s="154"/>
      <c r="AG22" s="154"/>
      <c r="AH22" s="154"/>
      <c r="AI22" s="154"/>
      <c r="AJ22" s="154"/>
      <c r="AK22" s="154"/>
      <c r="AL22" s="154"/>
      <c r="AM22" s="154"/>
    </row>
    <row r="23" customFormat="false" ht="15" hidden="false" customHeight="false" outlineLevel="0" collapsed="false">
      <c r="A23" s="155" t="s">
        <v>223</v>
      </c>
      <c r="B23" s="154"/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W23" s="155" t="s">
        <v>223</v>
      </c>
      <c r="X23" s="154"/>
      <c r="Y23" s="154"/>
      <c r="Z23" s="154"/>
      <c r="AA23" s="154"/>
      <c r="AB23" s="154"/>
      <c r="AC23" s="154"/>
      <c r="AD23" s="154"/>
      <c r="AE23" s="154"/>
      <c r="AF23" s="154"/>
      <c r="AG23" s="154"/>
      <c r="AH23" s="154"/>
      <c r="AI23" s="154"/>
      <c r="AJ23" s="154"/>
      <c r="AK23" s="154"/>
      <c r="AL23" s="154"/>
      <c r="AM23" s="154"/>
    </row>
    <row r="24" customFormat="false" ht="15" hidden="false" customHeight="false" outlineLevel="0" collapsed="false">
      <c r="A24" s="155" t="s">
        <v>250</v>
      </c>
      <c r="B24" s="154"/>
      <c r="C24" s="154"/>
      <c r="D24" s="156" t="n">
        <v>4</v>
      </c>
      <c r="E24" s="154"/>
      <c r="F24" s="154"/>
      <c r="G24" s="156" t="n">
        <v>4</v>
      </c>
      <c r="H24" s="154"/>
      <c r="I24" s="154"/>
      <c r="J24" s="154"/>
      <c r="K24" s="154"/>
      <c r="L24" s="154"/>
      <c r="M24" s="154"/>
      <c r="N24" s="154"/>
      <c r="O24" s="154"/>
      <c r="P24" s="156" t="n">
        <v>4</v>
      </c>
      <c r="Q24" s="158" t="n">
        <v>12</v>
      </c>
      <c r="W24" s="155" t="s">
        <v>250</v>
      </c>
      <c r="X24" s="154"/>
      <c r="Y24" s="154"/>
      <c r="Z24" s="153" t="n">
        <v>7.91</v>
      </c>
      <c r="AA24" s="154"/>
      <c r="AB24" s="154"/>
      <c r="AC24" s="153" t="n">
        <v>7.91</v>
      </c>
      <c r="AD24" s="154"/>
      <c r="AE24" s="154"/>
      <c r="AF24" s="154"/>
      <c r="AG24" s="154"/>
      <c r="AH24" s="154"/>
      <c r="AI24" s="154"/>
      <c r="AJ24" s="154"/>
      <c r="AK24" s="154"/>
      <c r="AL24" s="153" t="n">
        <v>7.91</v>
      </c>
      <c r="AM24" s="159" t="n">
        <v>23.73</v>
      </c>
    </row>
    <row r="25" customFormat="false" ht="15" hidden="false" customHeight="false" outlineLevel="0" collapsed="false">
      <c r="A25" s="160" t="s">
        <v>914</v>
      </c>
      <c r="B25" s="158" t="n">
        <v>6</v>
      </c>
      <c r="C25" s="154"/>
      <c r="D25" s="158" t="n">
        <v>12</v>
      </c>
      <c r="E25" s="158" t="n">
        <v>6</v>
      </c>
      <c r="F25" s="154"/>
      <c r="G25" s="158" t="n">
        <v>12</v>
      </c>
      <c r="H25" s="158" t="n">
        <v>6</v>
      </c>
      <c r="I25" s="154"/>
      <c r="J25" s="154"/>
      <c r="K25" s="154"/>
      <c r="L25" s="154"/>
      <c r="M25" s="154"/>
      <c r="N25" s="154"/>
      <c r="O25" s="154"/>
      <c r="P25" s="158" t="n">
        <v>12</v>
      </c>
      <c r="Q25" s="158" t="n">
        <v>54</v>
      </c>
      <c r="W25" s="160" t="s">
        <v>914</v>
      </c>
      <c r="X25" s="159" t="n">
        <v>14.07</v>
      </c>
      <c r="Y25" s="154"/>
      <c r="Z25" s="159" t="n">
        <v>23.73</v>
      </c>
      <c r="AA25" s="159" t="n">
        <v>14.07</v>
      </c>
      <c r="AB25" s="154"/>
      <c r="AC25" s="159" t="n">
        <v>23.73</v>
      </c>
      <c r="AD25" s="159" t="n">
        <v>14.07</v>
      </c>
      <c r="AE25" s="154"/>
      <c r="AF25" s="154"/>
      <c r="AG25" s="154"/>
      <c r="AH25" s="154"/>
      <c r="AI25" s="154"/>
      <c r="AJ25" s="154"/>
      <c r="AK25" s="154"/>
      <c r="AL25" s="159" t="n">
        <v>23.73</v>
      </c>
      <c r="AM25" s="159" t="n">
        <v>113.4</v>
      </c>
    </row>
    <row r="29" customFormat="false" ht="15" hidden="false" customHeight="false" outlineLevel="0" collapsed="false">
      <c r="A29" s="148" t="s">
        <v>915</v>
      </c>
      <c r="B29" s="148"/>
      <c r="C29" s="148"/>
      <c r="D29" s="148"/>
      <c r="E29" s="148"/>
      <c r="F29" s="148"/>
      <c r="G29" s="148"/>
      <c r="H29" s="148"/>
      <c r="I29" s="148"/>
      <c r="J29" s="148"/>
      <c r="K29" s="148"/>
      <c r="L29" s="148"/>
      <c r="M29" s="148"/>
      <c r="N29" s="148"/>
      <c r="W29" s="148" t="s">
        <v>916</v>
      </c>
      <c r="X29" s="148"/>
      <c r="Y29" s="148"/>
      <c r="Z29" s="148"/>
      <c r="AA29" s="148"/>
      <c r="AB29" s="148"/>
      <c r="AC29" s="148"/>
      <c r="AD29" s="148"/>
      <c r="AE29" s="148"/>
      <c r="AF29" s="148"/>
      <c r="AG29" s="148"/>
      <c r="AH29" s="148"/>
      <c r="AI29" s="148"/>
      <c r="AJ29" s="148"/>
    </row>
    <row r="30" customFormat="false" ht="15" hidden="false" customHeight="false" outlineLevel="0" collapsed="false">
      <c r="A30" s="123"/>
      <c r="B30" s="149" t="s">
        <v>33</v>
      </c>
      <c r="C30" s="149" t="s">
        <v>96</v>
      </c>
      <c r="D30" s="149" t="s">
        <v>34</v>
      </c>
      <c r="E30" s="149" t="s">
        <v>97</v>
      </c>
      <c r="F30" s="149" t="s">
        <v>98</v>
      </c>
      <c r="G30" s="149" t="s">
        <v>99</v>
      </c>
      <c r="H30" s="149" t="s">
        <v>112</v>
      </c>
      <c r="I30" s="149" t="s">
        <v>115</v>
      </c>
      <c r="J30" s="149" t="s">
        <v>119</v>
      </c>
      <c r="K30" s="149" t="s">
        <v>121</v>
      </c>
      <c r="L30" s="149" t="s">
        <v>123</v>
      </c>
      <c r="M30" s="149" t="s">
        <v>125</v>
      </c>
      <c r="N30" s="157" t="s">
        <v>914</v>
      </c>
      <c r="W30" s="123"/>
      <c r="X30" s="149" t="s">
        <v>33</v>
      </c>
      <c r="Y30" s="149" t="s">
        <v>96</v>
      </c>
      <c r="Z30" s="149" t="s">
        <v>34</v>
      </c>
      <c r="AA30" s="149" t="s">
        <v>97</v>
      </c>
      <c r="AB30" s="149" t="s">
        <v>98</v>
      </c>
      <c r="AC30" s="149" t="s">
        <v>99</v>
      </c>
      <c r="AD30" s="149" t="s">
        <v>112</v>
      </c>
      <c r="AE30" s="149" t="s">
        <v>115</v>
      </c>
      <c r="AF30" s="149" t="s">
        <v>119</v>
      </c>
      <c r="AG30" s="149" t="s">
        <v>121</v>
      </c>
      <c r="AH30" s="149" t="s">
        <v>123</v>
      </c>
      <c r="AI30" s="149" t="s">
        <v>125</v>
      </c>
      <c r="AJ30" s="157" t="s">
        <v>914</v>
      </c>
    </row>
    <row r="31" customFormat="false" ht="15" hidden="false" customHeight="false" outlineLevel="0" collapsed="false">
      <c r="A31" s="152" t="s">
        <v>65</v>
      </c>
      <c r="B31" s="154"/>
      <c r="C31" s="154"/>
      <c r="D31" s="156" t="n">
        <v>1</v>
      </c>
      <c r="E31" s="154"/>
      <c r="F31" s="154"/>
      <c r="G31" s="156" t="n">
        <v>1</v>
      </c>
      <c r="H31" s="154"/>
      <c r="I31" s="154"/>
      <c r="J31" s="154"/>
      <c r="K31" s="154"/>
      <c r="L31" s="154"/>
      <c r="M31" s="154"/>
      <c r="N31" s="158" t="n">
        <v>2</v>
      </c>
      <c r="W31" s="152" t="s">
        <v>65</v>
      </c>
      <c r="X31" s="154"/>
      <c r="Y31" s="154"/>
      <c r="Z31" s="153" t="n">
        <v>1.98</v>
      </c>
      <c r="AA31" s="154"/>
      <c r="AB31" s="154"/>
      <c r="AC31" s="153" t="n">
        <v>1.98</v>
      </c>
      <c r="AD31" s="154"/>
      <c r="AE31" s="154"/>
      <c r="AF31" s="154"/>
      <c r="AG31" s="154"/>
      <c r="AH31" s="154"/>
      <c r="AI31" s="154"/>
      <c r="AJ31" s="159" t="n">
        <v>3.96</v>
      </c>
    </row>
    <row r="32" customFormat="false" ht="15" hidden="false" customHeight="false" outlineLevel="0" collapsed="false">
      <c r="A32" s="152" t="s">
        <v>71</v>
      </c>
      <c r="B32" s="156" t="n">
        <v>1</v>
      </c>
      <c r="C32" s="154"/>
      <c r="D32" s="154"/>
      <c r="E32" s="156" t="n">
        <v>1</v>
      </c>
      <c r="F32" s="154"/>
      <c r="G32" s="154"/>
      <c r="H32" s="154"/>
      <c r="I32" s="154"/>
      <c r="J32" s="154"/>
      <c r="K32" s="154"/>
      <c r="L32" s="154"/>
      <c r="M32" s="154"/>
      <c r="N32" s="158" t="n">
        <v>2</v>
      </c>
      <c r="W32" s="152" t="s">
        <v>71</v>
      </c>
      <c r="X32" s="153" t="n">
        <v>2.35</v>
      </c>
      <c r="Y32" s="154"/>
      <c r="Z32" s="154"/>
      <c r="AA32" s="153" t="n">
        <v>2.35</v>
      </c>
      <c r="AB32" s="154"/>
      <c r="AC32" s="154"/>
      <c r="AD32" s="154"/>
      <c r="AE32" s="154"/>
      <c r="AF32" s="154"/>
      <c r="AG32" s="154"/>
      <c r="AH32" s="154"/>
      <c r="AI32" s="154"/>
      <c r="AJ32" s="159" t="n">
        <v>4.7</v>
      </c>
    </row>
    <row r="33" customFormat="false" ht="15" hidden="false" customHeight="false" outlineLevel="0" collapsed="false">
      <c r="A33" s="152" t="s">
        <v>74</v>
      </c>
      <c r="B33" s="156" t="n">
        <v>1</v>
      </c>
      <c r="C33" s="154"/>
      <c r="D33" s="156" t="n">
        <v>1</v>
      </c>
      <c r="E33" s="156" t="n">
        <v>1</v>
      </c>
      <c r="F33" s="154"/>
      <c r="G33" s="156" t="n">
        <v>1</v>
      </c>
      <c r="H33" s="154"/>
      <c r="I33" s="154"/>
      <c r="J33" s="154"/>
      <c r="K33" s="154"/>
      <c r="L33" s="154"/>
      <c r="M33" s="154"/>
      <c r="N33" s="158" t="n">
        <v>4</v>
      </c>
      <c r="W33" s="152" t="s">
        <v>74</v>
      </c>
      <c r="X33" s="153" t="n">
        <v>2.35</v>
      </c>
      <c r="Y33" s="154"/>
      <c r="Z33" s="153" t="n">
        <v>1.98</v>
      </c>
      <c r="AA33" s="153" t="n">
        <v>2.35</v>
      </c>
      <c r="AB33" s="154"/>
      <c r="AC33" s="153" t="n">
        <v>1.98</v>
      </c>
      <c r="AD33" s="154"/>
      <c r="AE33" s="154"/>
      <c r="AF33" s="154"/>
      <c r="AG33" s="154"/>
      <c r="AH33" s="154"/>
      <c r="AI33" s="154"/>
      <c r="AJ33" s="159" t="n">
        <v>8.66</v>
      </c>
    </row>
    <row r="34" customFormat="false" ht="15" hidden="false" customHeight="false" outlineLevel="0" collapsed="false">
      <c r="A34" s="152" t="s">
        <v>75</v>
      </c>
      <c r="B34" s="154"/>
      <c r="C34" s="154"/>
      <c r="D34" s="156" t="n">
        <v>1</v>
      </c>
      <c r="E34" s="154"/>
      <c r="F34" s="154"/>
      <c r="G34" s="156" t="n">
        <v>1</v>
      </c>
      <c r="H34" s="154"/>
      <c r="I34" s="154"/>
      <c r="J34" s="154"/>
      <c r="K34" s="154"/>
      <c r="L34" s="154"/>
      <c r="M34" s="154"/>
      <c r="N34" s="158" t="n">
        <v>2</v>
      </c>
      <c r="W34" s="152" t="s">
        <v>75</v>
      </c>
      <c r="X34" s="154"/>
      <c r="Y34" s="154"/>
      <c r="Z34" s="153" t="n">
        <v>1.98</v>
      </c>
      <c r="AA34" s="154"/>
      <c r="AB34" s="154"/>
      <c r="AC34" s="153" t="n">
        <v>1.98</v>
      </c>
      <c r="AD34" s="154"/>
      <c r="AE34" s="154"/>
      <c r="AF34" s="154"/>
      <c r="AG34" s="154"/>
      <c r="AH34" s="154"/>
      <c r="AI34" s="154"/>
      <c r="AJ34" s="159" t="n">
        <v>3.96</v>
      </c>
    </row>
    <row r="35" customFormat="false" ht="15" hidden="false" customHeight="false" outlineLevel="0" collapsed="false">
      <c r="A35" s="152" t="s">
        <v>70</v>
      </c>
      <c r="B35" s="154"/>
      <c r="C35" s="154"/>
      <c r="D35" s="156" t="n">
        <v>1</v>
      </c>
      <c r="E35" s="154"/>
      <c r="F35" s="154"/>
      <c r="G35" s="156" t="n">
        <v>1</v>
      </c>
      <c r="H35" s="154"/>
      <c r="I35" s="154"/>
      <c r="J35" s="154"/>
      <c r="K35" s="154"/>
      <c r="L35" s="154"/>
      <c r="M35" s="154"/>
      <c r="N35" s="158" t="n">
        <v>2</v>
      </c>
      <c r="W35" s="152" t="s">
        <v>70</v>
      </c>
      <c r="X35" s="154"/>
      <c r="Y35" s="154"/>
      <c r="Z35" s="153" t="n">
        <v>1.98</v>
      </c>
      <c r="AA35" s="154"/>
      <c r="AB35" s="154"/>
      <c r="AC35" s="153" t="n">
        <v>1.98</v>
      </c>
      <c r="AD35" s="154"/>
      <c r="AE35" s="154"/>
      <c r="AF35" s="154"/>
      <c r="AG35" s="154"/>
      <c r="AH35" s="154"/>
      <c r="AI35" s="154"/>
      <c r="AJ35" s="159" t="n">
        <v>3.96</v>
      </c>
    </row>
    <row r="36" customFormat="false" ht="15" hidden="false" customHeight="false" outlineLevel="0" collapsed="false">
      <c r="A36" s="160" t="s">
        <v>914</v>
      </c>
      <c r="B36" s="158" t="n">
        <v>2</v>
      </c>
      <c r="C36" s="154"/>
      <c r="D36" s="158" t="n">
        <v>4</v>
      </c>
      <c r="E36" s="158" t="n">
        <v>2</v>
      </c>
      <c r="F36" s="154"/>
      <c r="G36" s="158" t="n">
        <v>4</v>
      </c>
      <c r="H36" s="154"/>
      <c r="I36" s="154"/>
      <c r="J36" s="154"/>
      <c r="K36" s="154"/>
      <c r="L36" s="154"/>
      <c r="M36" s="154"/>
      <c r="N36" s="158" t="n">
        <v>12</v>
      </c>
      <c r="W36" s="160" t="s">
        <v>914</v>
      </c>
      <c r="X36" s="159" t="n">
        <v>4.7</v>
      </c>
      <c r="Y36" s="154"/>
      <c r="Z36" s="159" t="n">
        <v>7.92</v>
      </c>
      <c r="AA36" s="159" t="n">
        <v>4.7</v>
      </c>
      <c r="AB36" s="154"/>
      <c r="AC36" s="159" t="n">
        <v>7.92</v>
      </c>
      <c r="AD36" s="154"/>
      <c r="AE36" s="154"/>
      <c r="AF36" s="154"/>
      <c r="AG36" s="154"/>
      <c r="AH36" s="154"/>
      <c r="AI36" s="154"/>
      <c r="AJ36" s="159" t="n">
        <v>25.24</v>
      </c>
    </row>
    <row r="40" customFormat="false" ht="15" hidden="false" customHeight="false" outlineLevel="0" collapsed="false">
      <c r="A40" s="148" t="s">
        <v>917</v>
      </c>
      <c r="B40" s="148"/>
      <c r="C40" s="148"/>
      <c r="D40" s="148"/>
      <c r="E40" s="148"/>
      <c r="F40" s="148"/>
      <c r="G40" s="148"/>
      <c r="H40" s="148"/>
      <c r="I40" s="148"/>
      <c r="J40" s="148"/>
      <c r="K40" s="148"/>
      <c r="L40" s="148"/>
      <c r="M40" s="148"/>
      <c r="N40" s="148"/>
      <c r="W40" s="148" t="s">
        <v>918</v>
      </c>
      <c r="X40" s="148"/>
      <c r="Y40" s="148"/>
      <c r="Z40" s="148"/>
      <c r="AA40" s="148"/>
      <c r="AB40" s="148"/>
      <c r="AC40" s="148"/>
      <c r="AD40" s="148"/>
      <c r="AE40" s="148"/>
      <c r="AF40" s="148"/>
      <c r="AG40" s="148"/>
      <c r="AH40" s="148"/>
      <c r="AI40" s="148"/>
      <c r="AJ40" s="148"/>
    </row>
    <row r="41" customFormat="false" ht="15" hidden="false" customHeight="false" outlineLevel="0" collapsed="false">
      <c r="A41" s="123"/>
      <c r="B41" s="149" t="s">
        <v>33</v>
      </c>
      <c r="C41" s="149" t="s">
        <v>96</v>
      </c>
      <c r="D41" s="149" t="s">
        <v>34</v>
      </c>
      <c r="E41" s="149" t="s">
        <v>97</v>
      </c>
      <c r="F41" s="149" t="s">
        <v>98</v>
      </c>
      <c r="G41" s="149" t="s">
        <v>99</v>
      </c>
      <c r="H41" s="149" t="s">
        <v>112</v>
      </c>
      <c r="I41" s="149" t="s">
        <v>115</v>
      </c>
      <c r="J41" s="149" t="s">
        <v>119</v>
      </c>
      <c r="K41" s="149" t="s">
        <v>121</v>
      </c>
      <c r="L41" s="149" t="s">
        <v>123</v>
      </c>
      <c r="M41" s="149" t="s">
        <v>125</v>
      </c>
      <c r="N41" s="157" t="s">
        <v>914</v>
      </c>
      <c r="W41" s="123"/>
      <c r="X41" s="149" t="s">
        <v>33</v>
      </c>
      <c r="Y41" s="149" t="s">
        <v>96</v>
      </c>
      <c r="Z41" s="149" t="s">
        <v>34</v>
      </c>
      <c r="AA41" s="149" t="s">
        <v>97</v>
      </c>
      <c r="AB41" s="149" t="s">
        <v>98</v>
      </c>
      <c r="AC41" s="149" t="s">
        <v>99</v>
      </c>
      <c r="AD41" s="149" t="s">
        <v>112</v>
      </c>
      <c r="AE41" s="149" t="s">
        <v>115</v>
      </c>
      <c r="AF41" s="149" t="s">
        <v>119</v>
      </c>
      <c r="AG41" s="149" t="s">
        <v>121</v>
      </c>
      <c r="AH41" s="149" t="s">
        <v>123</v>
      </c>
      <c r="AI41" s="149" t="s">
        <v>125</v>
      </c>
      <c r="AJ41" s="157" t="s">
        <v>914</v>
      </c>
    </row>
    <row r="42" customFormat="false" ht="15" hidden="false" customHeight="false" outlineLevel="0" collapsed="false">
      <c r="A42" s="152" t="s">
        <v>65</v>
      </c>
      <c r="B42" s="154"/>
      <c r="C42" s="154"/>
      <c r="D42" s="154"/>
      <c r="E42" s="154"/>
      <c r="F42" s="154"/>
      <c r="G42" s="154"/>
      <c r="H42" s="154"/>
      <c r="I42" s="154"/>
      <c r="J42" s="156" t="n">
        <v>1</v>
      </c>
      <c r="K42" s="154"/>
      <c r="L42" s="154"/>
      <c r="M42" s="156" t="n">
        <v>1</v>
      </c>
      <c r="N42" s="158" t="n">
        <v>2</v>
      </c>
      <c r="W42" s="152" t="s">
        <v>65</v>
      </c>
      <c r="X42" s="154"/>
      <c r="Y42" s="154"/>
      <c r="Z42" s="154"/>
      <c r="AA42" s="154"/>
      <c r="AB42" s="154"/>
      <c r="AC42" s="154"/>
      <c r="AD42" s="154"/>
      <c r="AE42" s="154"/>
      <c r="AF42" s="153" t="n">
        <v>1.98</v>
      </c>
      <c r="AG42" s="154"/>
      <c r="AH42" s="154"/>
      <c r="AI42" s="153" t="n">
        <v>1.98</v>
      </c>
      <c r="AJ42" s="159" t="n">
        <v>3.96</v>
      </c>
    </row>
    <row r="43" customFormat="false" ht="15" hidden="false" customHeight="false" outlineLevel="0" collapsed="false">
      <c r="A43" s="152" t="s">
        <v>71</v>
      </c>
      <c r="B43" s="154"/>
      <c r="C43" s="154"/>
      <c r="D43" s="154"/>
      <c r="E43" s="154"/>
      <c r="F43" s="154"/>
      <c r="G43" s="154"/>
      <c r="H43" s="156" t="n">
        <v>1</v>
      </c>
      <c r="I43" s="154"/>
      <c r="J43" s="154"/>
      <c r="K43" s="156" t="n">
        <v>1</v>
      </c>
      <c r="L43" s="154"/>
      <c r="M43" s="154"/>
      <c r="N43" s="158" t="n">
        <v>2</v>
      </c>
      <c r="W43" s="152" t="s">
        <v>71</v>
      </c>
      <c r="X43" s="154"/>
      <c r="Y43" s="154"/>
      <c r="Z43" s="154"/>
      <c r="AA43" s="154"/>
      <c r="AB43" s="154"/>
      <c r="AC43" s="154"/>
      <c r="AD43" s="153" t="n">
        <v>2.35</v>
      </c>
      <c r="AE43" s="154"/>
      <c r="AF43" s="154"/>
      <c r="AG43" s="153" t="n">
        <v>2.35</v>
      </c>
      <c r="AH43" s="154"/>
      <c r="AI43" s="154"/>
      <c r="AJ43" s="159" t="n">
        <v>4.7</v>
      </c>
    </row>
    <row r="44" customFormat="false" ht="15" hidden="false" customHeight="false" outlineLevel="0" collapsed="false">
      <c r="A44" s="152" t="s">
        <v>74</v>
      </c>
      <c r="B44" s="154"/>
      <c r="C44" s="154"/>
      <c r="D44" s="154"/>
      <c r="E44" s="154"/>
      <c r="F44" s="154"/>
      <c r="G44" s="154"/>
      <c r="H44" s="156" t="n">
        <v>1</v>
      </c>
      <c r="I44" s="154"/>
      <c r="J44" s="156" t="n">
        <v>1</v>
      </c>
      <c r="K44" s="156" t="n">
        <v>1</v>
      </c>
      <c r="L44" s="154"/>
      <c r="M44" s="156" t="n">
        <v>1</v>
      </c>
      <c r="N44" s="158" t="n">
        <v>4</v>
      </c>
      <c r="W44" s="152" t="s">
        <v>74</v>
      </c>
      <c r="X44" s="154"/>
      <c r="Y44" s="154"/>
      <c r="Z44" s="154"/>
      <c r="AA44" s="154"/>
      <c r="AB44" s="154"/>
      <c r="AC44" s="154"/>
      <c r="AD44" s="153" t="n">
        <v>2.35</v>
      </c>
      <c r="AE44" s="154"/>
      <c r="AF44" s="153" t="n">
        <v>1.98</v>
      </c>
      <c r="AG44" s="153" t="n">
        <v>2.35</v>
      </c>
      <c r="AH44" s="154"/>
      <c r="AI44" s="153" t="n">
        <v>1.98</v>
      </c>
      <c r="AJ44" s="159" t="n">
        <v>8.66</v>
      </c>
    </row>
    <row r="45" customFormat="false" ht="15" hidden="false" customHeight="false" outlineLevel="0" collapsed="false">
      <c r="A45" s="152" t="s">
        <v>75</v>
      </c>
      <c r="B45" s="154"/>
      <c r="C45" s="154"/>
      <c r="D45" s="154"/>
      <c r="E45" s="154"/>
      <c r="F45" s="154"/>
      <c r="G45" s="154"/>
      <c r="H45" s="154"/>
      <c r="I45" s="154"/>
      <c r="J45" s="156" t="n">
        <v>1</v>
      </c>
      <c r="K45" s="154"/>
      <c r="L45" s="154"/>
      <c r="M45" s="156" t="n">
        <v>1</v>
      </c>
      <c r="N45" s="158" t="n">
        <v>2</v>
      </c>
      <c r="W45" s="152" t="s">
        <v>75</v>
      </c>
      <c r="X45" s="154"/>
      <c r="Y45" s="154"/>
      <c r="Z45" s="154"/>
      <c r="AA45" s="154"/>
      <c r="AB45" s="154"/>
      <c r="AC45" s="154"/>
      <c r="AD45" s="154"/>
      <c r="AE45" s="154"/>
      <c r="AF45" s="153" t="n">
        <v>1.99</v>
      </c>
      <c r="AG45" s="154"/>
      <c r="AH45" s="154"/>
      <c r="AI45" s="153" t="n">
        <v>1.99</v>
      </c>
      <c r="AJ45" s="159" t="n">
        <v>3.98</v>
      </c>
    </row>
    <row r="46" customFormat="false" ht="15" hidden="false" customHeight="false" outlineLevel="0" collapsed="false">
      <c r="A46" s="152" t="s">
        <v>70</v>
      </c>
      <c r="B46" s="154"/>
      <c r="C46" s="154"/>
      <c r="D46" s="154"/>
      <c r="E46" s="154"/>
      <c r="F46" s="154"/>
      <c r="G46" s="154"/>
      <c r="H46" s="154"/>
      <c r="I46" s="154"/>
      <c r="J46" s="156" t="n">
        <v>1</v>
      </c>
      <c r="K46" s="154"/>
      <c r="L46" s="154"/>
      <c r="M46" s="156" t="n">
        <v>1</v>
      </c>
      <c r="N46" s="158" t="n">
        <v>2</v>
      </c>
      <c r="W46" s="152" t="s">
        <v>70</v>
      </c>
      <c r="X46" s="154"/>
      <c r="Y46" s="154"/>
      <c r="Z46" s="154"/>
      <c r="AA46" s="154"/>
      <c r="AB46" s="154"/>
      <c r="AC46" s="154"/>
      <c r="AD46" s="154"/>
      <c r="AE46" s="154"/>
      <c r="AF46" s="153" t="n">
        <v>1.98</v>
      </c>
      <c r="AG46" s="154"/>
      <c r="AH46" s="154"/>
      <c r="AI46" s="153" t="n">
        <v>1.98</v>
      </c>
      <c r="AJ46" s="159" t="n">
        <v>3.96</v>
      </c>
    </row>
    <row r="47" customFormat="false" ht="15" hidden="false" customHeight="false" outlineLevel="0" collapsed="false">
      <c r="A47" s="160" t="s">
        <v>914</v>
      </c>
      <c r="B47" s="154"/>
      <c r="C47" s="154"/>
      <c r="D47" s="154"/>
      <c r="E47" s="154"/>
      <c r="F47" s="154"/>
      <c r="G47" s="154"/>
      <c r="H47" s="158" t="n">
        <v>2</v>
      </c>
      <c r="I47" s="154"/>
      <c r="J47" s="158" t="n">
        <v>4</v>
      </c>
      <c r="K47" s="158" t="n">
        <v>2</v>
      </c>
      <c r="L47" s="154"/>
      <c r="M47" s="158" t="n">
        <v>4</v>
      </c>
      <c r="N47" s="158" t="n">
        <v>12</v>
      </c>
      <c r="W47" s="160" t="s">
        <v>914</v>
      </c>
      <c r="X47" s="154"/>
      <c r="Y47" s="154"/>
      <c r="Z47" s="154"/>
      <c r="AA47" s="154"/>
      <c r="AB47" s="154"/>
      <c r="AC47" s="154"/>
      <c r="AD47" s="159" t="n">
        <v>4.7</v>
      </c>
      <c r="AE47" s="154"/>
      <c r="AF47" s="159" t="n">
        <v>7.93</v>
      </c>
      <c r="AG47" s="159" t="n">
        <v>4.7</v>
      </c>
      <c r="AH47" s="154"/>
      <c r="AI47" s="159" t="n">
        <v>7.93</v>
      </c>
      <c r="AJ47" s="159" t="n">
        <v>25.26</v>
      </c>
    </row>
    <row r="51" customFormat="false" ht="15" hidden="false" customHeight="false" outlineLevel="0" collapsed="false">
      <c r="A51" s="148" t="s">
        <v>919</v>
      </c>
      <c r="B51" s="14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W51" s="148" t="s">
        <v>920</v>
      </c>
      <c r="X51" s="148"/>
      <c r="Y51" s="148"/>
      <c r="Z51" s="148"/>
      <c r="AA51" s="148"/>
      <c r="AB51" s="148"/>
      <c r="AC51" s="148"/>
      <c r="AD51" s="148"/>
      <c r="AE51" s="148"/>
      <c r="AF51" s="148"/>
      <c r="AG51" s="148"/>
      <c r="AH51" s="148"/>
      <c r="AI51" s="148"/>
      <c r="AJ51" s="148"/>
    </row>
    <row r="52" customFormat="false" ht="15" hidden="false" customHeight="false" outlineLevel="0" collapsed="false">
      <c r="A52" s="123"/>
      <c r="B52" s="149" t="s">
        <v>33</v>
      </c>
      <c r="C52" s="149" t="s">
        <v>96</v>
      </c>
      <c r="D52" s="149" t="s">
        <v>34</v>
      </c>
      <c r="E52" s="149" t="s">
        <v>97</v>
      </c>
      <c r="F52" s="149" t="s">
        <v>98</v>
      </c>
      <c r="G52" s="149" t="s">
        <v>99</v>
      </c>
      <c r="H52" s="149" t="s">
        <v>112</v>
      </c>
      <c r="I52" s="149" t="s">
        <v>115</v>
      </c>
      <c r="J52" s="149" t="s">
        <v>119</v>
      </c>
      <c r="K52" s="149" t="s">
        <v>121</v>
      </c>
      <c r="L52" s="149" t="s">
        <v>123</v>
      </c>
      <c r="M52" s="149" t="s">
        <v>125</v>
      </c>
      <c r="N52" s="157" t="s">
        <v>914</v>
      </c>
      <c r="W52" s="123"/>
      <c r="X52" s="149" t="s">
        <v>33</v>
      </c>
      <c r="Y52" s="149" t="s">
        <v>96</v>
      </c>
      <c r="Z52" s="149" t="s">
        <v>34</v>
      </c>
      <c r="AA52" s="149" t="s">
        <v>97</v>
      </c>
      <c r="AB52" s="149" t="s">
        <v>98</v>
      </c>
      <c r="AC52" s="149" t="s">
        <v>99</v>
      </c>
      <c r="AD52" s="149" t="s">
        <v>112</v>
      </c>
      <c r="AE52" s="149" t="s">
        <v>115</v>
      </c>
      <c r="AF52" s="149" t="s">
        <v>119</v>
      </c>
      <c r="AG52" s="149" t="s">
        <v>121</v>
      </c>
      <c r="AH52" s="149" t="s">
        <v>123</v>
      </c>
      <c r="AI52" s="149" t="s">
        <v>125</v>
      </c>
      <c r="AJ52" s="157" t="s">
        <v>914</v>
      </c>
    </row>
    <row r="53" customFormat="false" ht="15" hidden="false" customHeight="false" outlineLevel="0" collapsed="false">
      <c r="A53" s="152" t="s">
        <v>65</v>
      </c>
      <c r="B53" s="154"/>
      <c r="C53" s="154"/>
      <c r="D53" s="154"/>
      <c r="E53" s="154"/>
      <c r="F53" s="154"/>
      <c r="G53" s="156" t="n">
        <v>1</v>
      </c>
      <c r="H53" s="154"/>
      <c r="I53" s="154"/>
      <c r="J53" s="156" t="n">
        <v>1</v>
      </c>
      <c r="K53" s="154"/>
      <c r="L53" s="154"/>
      <c r="M53" s="154"/>
      <c r="N53" s="158" t="n">
        <v>2</v>
      </c>
      <c r="W53" s="152" t="s">
        <v>65</v>
      </c>
      <c r="X53" s="154"/>
      <c r="Y53" s="154"/>
      <c r="Z53" s="154"/>
      <c r="AA53" s="154"/>
      <c r="AB53" s="154"/>
      <c r="AC53" s="153" t="n">
        <v>1.98</v>
      </c>
      <c r="AD53" s="154"/>
      <c r="AE53" s="154"/>
      <c r="AF53" s="153" t="n">
        <v>1.98</v>
      </c>
      <c r="AG53" s="154"/>
      <c r="AH53" s="154"/>
      <c r="AI53" s="154"/>
      <c r="AJ53" s="159" t="n">
        <v>3.96</v>
      </c>
    </row>
    <row r="54" customFormat="false" ht="15" hidden="false" customHeight="false" outlineLevel="0" collapsed="false">
      <c r="A54" s="152" t="s">
        <v>71</v>
      </c>
      <c r="B54" s="154"/>
      <c r="C54" s="154"/>
      <c r="D54" s="154"/>
      <c r="E54" s="156" t="n">
        <v>1</v>
      </c>
      <c r="F54" s="154"/>
      <c r="G54" s="154"/>
      <c r="H54" s="156" t="n">
        <v>1</v>
      </c>
      <c r="I54" s="154"/>
      <c r="J54" s="154"/>
      <c r="K54" s="154"/>
      <c r="L54" s="154"/>
      <c r="M54" s="154"/>
      <c r="N54" s="158" t="n">
        <v>2</v>
      </c>
      <c r="W54" s="152" t="s">
        <v>71</v>
      </c>
      <c r="X54" s="154"/>
      <c r="Y54" s="154"/>
      <c r="Z54" s="154"/>
      <c r="AA54" s="153" t="n">
        <v>2.35</v>
      </c>
      <c r="AB54" s="154"/>
      <c r="AC54" s="154"/>
      <c r="AD54" s="153" t="n">
        <v>2.35</v>
      </c>
      <c r="AE54" s="154"/>
      <c r="AF54" s="154"/>
      <c r="AG54" s="154"/>
      <c r="AH54" s="154"/>
      <c r="AI54" s="154"/>
      <c r="AJ54" s="159" t="n">
        <v>4.7</v>
      </c>
    </row>
    <row r="55" customFormat="false" ht="15" hidden="false" customHeight="false" outlineLevel="0" collapsed="false">
      <c r="A55" s="152" t="s">
        <v>74</v>
      </c>
      <c r="B55" s="154"/>
      <c r="C55" s="154"/>
      <c r="D55" s="154"/>
      <c r="E55" s="156" t="n">
        <v>1</v>
      </c>
      <c r="F55" s="154"/>
      <c r="G55" s="156" t="n">
        <v>1</v>
      </c>
      <c r="H55" s="156" t="n">
        <v>1</v>
      </c>
      <c r="I55" s="154"/>
      <c r="J55" s="156" t="n">
        <v>1</v>
      </c>
      <c r="K55" s="154"/>
      <c r="L55" s="154"/>
      <c r="M55" s="154"/>
      <c r="N55" s="158" t="n">
        <v>4</v>
      </c>
      <c r="W55" s="152" t="s">
        <v>74</v>
      </c>
      <c r="X55" s="154"/>
      <c r="Y55" s="154"/>
      <c r="Z55" s="154"/>
      <c r="AA55" s="153" t="n">
        <v>2.35</v>
      </c>
      <c r="AB55" s="154"/>
      <c r="AC55" s="153" t="n">
        <v>1.98</v>
      </c>
      <c r="AD55" s="153" t="n">
        <v>2.35</v>
      </c>
      <c r="AE55" s="154"/>
      <c r="AF55" s="153" t="n">
        <v>1.98</v>
      </c>
      <c r="AG55" s="154"/>
      <c r="AH55" s="154"/>
      <c r="AI55" s="154"/>
      <c r="AJ55" s="159" t="n">
        <v>8.66</v>
      </c>
    </row>
    <row r="56" customFormat="false" ht="15" hidden="false" customHeight="false" outlineLevel="0" collapsed="false">
      <c r="A56" s="152" t="s">
        <v>75</v>
      </c>
      <c r="B56" s="154"/>
      <c r="C56" s="154"/>
      <c r="D56" s="154"/>
      <c r="E56" s="154"/>
      <c r="F56" s="154"/>
      <c r="G56" s="156" t="n">
        <v>1</v>
      </c>
      <c r="H56" s="154"/>
      <c r="I56" s="154"/>
      <c r="J56" s="156" t="n">
        <v>1</v>
      </c>
      <c r="K56" s="154"/>
      <c r="L56" s="154"/>
      <c r="M56" s="154"/>
      <c r="N56" s="158" t="n">
        <v>2</v>
      </c>
      <c r="W56" s="152" t="s">
        <v>75</v>
      </c>
      <c r="X56" s="154"/>
      <c r="Y56" s="154"/>
      <c r="Z56" s="154"/>
      <c r="AA56" s="154"/>
      <c r="AB56" s="154"/>
      <c r="AC56" s="153" t="n">
        <v>1.98</v>
      </c>
      <c r="AD56" s="154"/>
      <c r="AE56" s="154"/>
      <c r="AF56" s="153" t="n">
        <v>1.99</v>
      </c>
      <c r="AG56" s="154"/>
      <c r="AH56" s="154"/>
      <c r="AI56" s="154"/>
      <c r="AJ56" s="159" t="n">
        <v>3.97</v>
      </c>
    </row>
    <row r="57" customFormat="false" ht="15" hidden="false" customHeight="false" outlineLevel="0" collapsed="false">
      <c r="A57" s="152" t="s">
        <v>70</v>
      </c>
      <c r="B57" s="154"/>
      <c r="C57" s="154"/>
      <c r="D57" s="154"/>
      <c r="E57" s="154"/>
      <c r="F57" s="154"/>
      <c r="G57" s="156" t="n">
        <v>1</v>
      </c>
      <c r="H57" s="154"/>
      <c r="I57" s="154"/>
      <c r="J57" s="156" t="n">
        <v>1</v>
      </c>
      <c r="K57" s="154"/>
      <c r="L57" s="154"/>
      <c r="M57" s="154"/>
      <c r="N57" s="158" t="n">
        <v>2</v>
      </c>
      <c r="W57" s="152" t="s">
        <v>70</v>
      </c>
      <c r="X57" s="154"/>
      <c r="Y57" s="154"/>
      <c r="Z57" s="154"/>
      <c r="AA57" s="154"/>
      <c r="AB57" s="154"/>
      <c r="AC57" s="153" t="n">
        <v>1.98</v>
      </c>
      <c r="AD57" s="154"/>
      <c r="AE57" s="154"/>
      <c r="AF57" s="153" t="n">
        <v>1.98</v>
      </c>
      <c r="AG57" s="154"/>
      <c r="AH57" s="154"/>
      <c r="AI57" s="154"/>
      <c r="AJ57" s="159" t="n">
        <v>3.96</v>
      </c>
    </row>
    <row r="58" customFormat="false" ht="15" hidden="false" customHeight="false" outlineLevel="0" collapsed="false">
      <c r="A58" s="160" t="s">
        <v>914</v>
      </c>
      <c r="B58" s="154"/>
      <c r="C58" s="154"/>
      <c r="D58" s="154"/>
      <c r="E58" s="158" t="n">
        <v>2</v>
      </c>
      <c r="F58" s="154"/>
      <c r="G58" s="158" t="n">
        <v>4</v>
      </c>
      <c r="H58" s="158" t="n">
        <v>2</v>
      </c>
      <c r="I58" s="154"/>
      <c r="J58" s="158" t="n">
        <v>4</v>
      </c>
      <c r="K58" s="154"/>
      <c r="L58" s="154"/>
      <c r="M58" s="154"/>
      <c r="N58" s="158" t="n">
        <v>12</v>
      </c>
      <c r="W58" s="160" t="s">
        <v>914</v>
      </c>
      <c r="X58" s="154"/>
      <c r="Y58" s="154"/>
      <c r="Z58" s="154"/>
      <c r="AA58" s="159" t="n">
        <v>4.7</v>
      </c>
      <c r="AB58" s="154"/>
      <c r="AC58" s="159" t="n">
        <v>7.92</v>
      </c>
      <c r="AD58" s="159" t="n">
        <v>4.7</v>
      </c>
      <c r="AE58" s="154"/>
      <c r="AF58" s="159" t="n">
        <v>7.93</v>
      </c>
      <c r="AG58" s="154"/>
      <c r="AH58" s="154"/>
      <c r="AI58" s="154"/>
      <c r="AJ58" s="159" t="n">
        <v>25.25</v>
      </c>
    </row>
    <row r="62" customFormat="false" ht="15" hidden="false" customHeight="false" outlineLevel="0" collapsed="false">
      <c r="A62" s="148" t="s">
        <v>921</v>
      </c>
      <c r="B62" s="148"/>
      <c r="C62" s="148"/>
      <c r="D62" s="148"/>
      <c r="E62" s="148"/>
      <c r="F62" s="148"/>
      <c r="G62" s="148"/>
      <c r="H62" s="148"/>
      <c r="I62" s="148"/>
      <c r="J62" s="148"/>
      <c r="K62" s="148"/>
      <c r="L62" s="148"/>
      <c r="M62" s="148"/>
      <c r="N62" s="148"/>
      <c r="W62" s="148" t="s">
        <v>922</v>
      </c>
      <c r="X62" s="148"/>
      <c r="Y62" s="148"/>
      <c r="Z62" s="148"/>
      <c r="AA62" s="148"/>
      <c r="AB62" s="148"/>
      <c r="AC62" s="148"/>
      <c r="AD62" s="148"/>
      <c r="AE62" s="148"/>
      <c r="AF62" s="148"/>
      <c r="AG62" s="148"/>
      <c r="AH62" s="148"/>
      <c r="AI62" s="148"/>
      <c r="AJ62" s="148"/>
    </row>
    <row r="63" customFormat="false" ht="15" hidden="false" customHeight="false" outlineLevel="0" collapsed="false">
      <c r="A63" s="123"/>
      <c r="B63" s="149" t="s">
        <v>33</v>
      </c>
      <c r="C63" s="149" t="s">
        <v>96</v>
      </c>
      <c r="D63" s="149" t="s">
        <v>34</v>
      </c>
      <c r="E63" s="149" t="s">
        <v>97</v>
      </c>
      <c r="F63" s="149" t="s">
        <v>98</v>
      </c>
      <c r="G63" s="149" t="s">
        <v>99</v>
      </c>
      <c r="H63" s="149" t="s">
        <v>112</v>
      </c>
      <c r="I63" s="149" t="s">
        <v>115</v>
      </c>
      <c r="J63" s="149" t="s">
        <v>119</v>
      </c>
      <c r="K63" s="149" t="s">
        <v>121</v>
      </c>
      <c r="L63" s="149" t="s">
        <v>123</v>
      </c>
      <c r="M63" s="149" t="s">
        <v>125</v>
      </c>
      <c r="N63" s="157" t="s">
        <v>914</v>
      </c>
      <c r="W63" s="123"/>
      <c r="X63" s="149" t="s">
        <v>33</v>
      </c>
      <c r="Y63" s="149" t="s">
        <v>96</v>
      </c>
      <c r="Z63" s="149" t="s">
        <v>34</v>
      </c>
      <c r="AA63" s="149" t="s">
        <v>97</v>
      </c>
      <c r="AB63" s="149" t="s">
        <v>98</v>
      </c>
      <c r="AC63" s="149" t="s">
        <v>99</v>
      </c>
      <c r="AD63" s="149" t="s">
        <v>112</v>
      </c>
      <c r="AE63" s="149" t="s">
        <v>115</v>
      </c>
      <c r="AF63" s="149" t="s">
        <v>119</v>
      </c>
      <c r="AG63" s="149" t="s">
        <v>121</v>
      </c>
      <c r="AH63" s="149" t="s">
        <v>123</v>
      </c>
      <c r="AI63" s="149" t="s">
        <v>125</v>
      </c>
      <c r="AJ63" s="157" t="s">
        <v>914</v>
      </c>
    </row>
    <row r="64" customFormat="false" ht="15" hidden="false" customHeight="false" outlineLevel="0" collapsed="false">
      <c r="A64" s="152" t="s">
        <v>65</v>
      </c>
      <c r="B64" s="154"/>
      <c r="C64" s="154"/>
      <c r="D64" s="156" t="n">
        <v>1</v>
      </c>
      <c r="E64" s="154"/>
      <c r="F64" s="154"/>
      <c r="G64" s="154"/>
      <c r="H64" s="154"/>
      <c r="I64" s="154"/>
      <c r="J64" s="154"/>
      <c r="K64" s="154"/>
      <c r="L64" s="154"/>
      <c r="M64" s="156" t="n">
        <v>1</v>
      </c>
      <c r="N64" s="158" t="n">
        <v>2</v>
      </c>
      <c r="W64" s="152" t="s">
        <v>65</v>
      </c>
      <c r="X64" s="154"/>
      <c r="Y64" s="154"/>
      <c r="Z64" s="153" t="n">
        <v>1.98</v>
      </c>
      <c r="AA64" s="154"/>
      <c r="AB64" s="154"/>
      <c r="AC64" s="154"/>
      <c r="AD64" s="154"/>
      <c r="AE64" s="154"/>
      <c r="AF64" s="154"/>
      <c r="AG64" s="154"/>
      <c r="AH64" s="154"/>
      <c r="AI64" s="153" t="n">
        <v>1.98</v>
      </c>
      <c r="AJ64" s="159" t="n">
        <v>3.96</v>
      </c>
    </row>
    <row r="65" customFormat="false" ht="15" hidden="false" customHeight="false" outlineLevel="0" collapsed="false">
      <c r="A65" s="152" t="s">
        <v>71</v>
      </c>
      <c r="B65" s="156" t="n">
        <v>1</v>
      </c>
      <c r="C65" s="154"/>
      <c r="D65" s="154"/>
      <c r="E65" s="154"/>
      <c r="F65" s="154"/>
      <c r="G65" s="154"/>
      <c r="H65" s="154"/>
      <c r="I65" s="154"/>
      <c r="J65" s="154"/>
      <c r="K65" s="156" t="n">
        <v>1</v>
      </c>
      <c r="L65" s="154"/>
      <c r="M65" s="154"/>
      <c r="N65" s="158" t="n">
        <v>2</v>
      </c>
      <c r="W65" s="152" t="s">
        <v>71</v>
      </c>
      <c r="X65" s="153" t="n">
        <v>2.35</v>
      </c>
      <c r="Y65" s="154"/>
      <c r="Z65" s="154"/>
      <c r="AA65" s="154"/>
      <c r="AB65" s="154"/>
      <c r="AC65" s="154"/>
      <c r="AD65" s="154"/>
      <c r="AE65" s="154"/>
      <c r="AF65" s="154"/>
      <c r="AG65" s="153" t="n">
        <v>2.35</v>
      </c>
      <c r="AH65" s="154"/>
      <c r="AI65" s="154"/>
      <c r="AJ65" s="159" t="n">
        <v>4.7</v>
      </c>
    </row>
    <row r="66" customFormat="false" ht="15" hidden="false" customHeight="false" outlineLevel="0" collapsed="false">
      <c r="A66" s="152" t="s">
        <v>74</v>
      </c>
      <c r="B66" s="156" t="n">
        <v>1</v>
      </c>
      <c r="C66" s="154"/>
      <c r="D66" s="156" t="n">
        <v>1</v>
      </c>
      <c r="E66" s="154"/>
      <c r="F66" s="154"/>
      <c r="G66" s="154"/>
      <c r="H66" s="154"/>
      <c r="I66" s="154"/>
      <c r="J66" s="154"/>
      <c r="K66" s="156" t="n">
        <v>1</v>
      </c>
      <c r="L66" s="154"/>
      <c r="M66" s="156" t="n">
        <v>1</v>
      </c>
      <c r="N66" s="158" t="n">
        <v>4</v>
      </c>
      <c r="W66" s="152" t="s">
        <v>74</v>
      </c>
      <c r="X66" s="153" t="n">
        <v>2.35</v>
      </c>
      <c r="Y66" s="154"/>
      <c r="Z66" s="153" t="n">
        <v>1.98</v>
      </c>
      <c r="AA66" s="154"/>
      <c r="AB66" s="154"/>
      <c r="AC66" s="154"/>
      <c r="AD66" s="154"/>
      <c r="AE66" s="154"/>
      <c r="AF66" s="154"/>
      <c r="AG66" s="153" t="n">
        <v>2.35</v>
      </c>
      <c r="AH66" s="154"/>
      <c r="AI66" s="153" t="n">
        <v>1.98</v>
      </c>
      <c r="AJ66" s="159" t="n">
        <v>8.66</v>
      </c>
    </row>
    <row r="67" customFormat="false" ht="15" hidden="false" customHeight="false" outlineLevel="0" collapsed="false">
      <c r="A67" s="152" t="s">
        <v>75</v>
      </c>
      <c r="B67" s="154"/>
      <c r="C67" s="154"/>
      <c r="D67" s="156" t="n">
        <v>1</v>
      </c>
      <c r="E67" s="154"/>
      <c r="F67" s="154"/>
      <c r="G67" s="154"/>
      <c r="H67" s="154"/>
      <c r="I67" s="154"/>
      <c r="J67" s="154"/>
      <c r="K67" s="154"/>
      <c r="L67" s="154"/>
      <c r="M67" s="156" t="n">
        <v>1</v>
      </c>
      <c r="N67" s="158" t="n">
        <v>2</v>
      </c>
      <c r="W67" s="152" t="s">
        <v>75</v>
      </c>
      <c r="X67" s="154"/>
      <c r="Y67" s="154"/>
      <c r="Z67" s="153" t="n">
        <v>1.98</v>
      </c>
      <c r="AA67" s="154"/>
      <c r="AB67" s="154"/>
      <c r="AC67" s="154"/>
      <c r="AD67" s="154"/>
      <c r="AE67" s="154"/>
      <c r="AF67" s="154"/>
      <c r="AG67" s="154"/>
      <c r="AH67" s="154"/>
      <c r="AI67" s="153" t="n">
        <v>1.99</v>
      </c>
      <c r="AJ67" s="159" t="n">
        <v>3.97</v>
      </c>
    </row>
    <row r="68" customFormat="false" ht="15" hidden="false" customHeight="false" outlineLevel="0" collapsed="false">
      <c r="A68" s="152" t="s">
        <v>70</v>
      </c>
      <c r="B68" s="154"/>
      <c r="C68" s="154"/>
      <c r="D68" s="156" t="n">
        <v>1</v>
      </c>
      <c r="E68" s="154"/>
      <c r="F68" s="154"/>
      <c r="G68" s="154"/>
      <c r="H68" s="154"/>
      <c r="I68" s="154"/>
      <c r="J68" s="154"/>
      <c r="K68" s="154"/>
      <c r="L68" s="154"/>
      <c r="M68" s="156" t="n">
        <v>1</v>
      </c>
      <c r="N68" s="158" t="n">
        <v>2</v>
      </c>
      <c r="W68" s="152" t="s">
        <v>70</v>
      </c>
      <c r="X68" s="154"/>
      <c r="Y68" s="154"/>
      <c r="Z68" s="153" t="n">
        <v>1.98</v>
      </c>
      <c r="AA68" s="154"/>
      <c r="AB68" s="154"/>
      <c r="AC68" s="154"/>
      <c r="AD68" s="154"/>
      <c r="AE68" s="154"/>
      <c r="AF68" s="154"/>
      <c r="AG68" s="154"/>
      <c r="AH68" s="154"/>
      <c r="AI68" s="153" t="n">
        <v>1.98</v>
      </c>
      <c r="AJ68" s="159" t="n">
        <v>3.96</v>
      </c>
    </row>
    <row r="69" customFormat="false" ht="15" hidden="false" customHeight="false" outlineLevel="0" collapsed="false">
      <c r="A69" s="160" t="s">
        <v>914</v>
      </c>
      <c r="B69" s="158" t="n">
        <v>2</v>
      </c>
      <c r="C69" s="154"/>
      <c r="D69" s="158" t="n">
        <v>4</v>
      </c>
      <c r="E69" s="154"/>
      <c r="F69" s="154"/>
      <c r="G69" s="154"/>
      <c r="H69" s="154"/>
      <c r="I69" s="154"/>
      <c r="J69" s="154"/>
      <c r="K69" s="158" t="n">
        <v>2</v>
      </c>
      <c r="L69" s="154"/>
      <c r="M69" s="158" t="n">
        <v>4</v>
      </c>
      <c r="N69" s="158" t="n">
        <v>12</v>
      </c>
      <c r="W69" s="160" t="s">
        <v>914</v>
      </c>
      <c r="X69" s="159" t="n">
        <v>4.7</v>
      </c>
      <c r="Y69" s="154"/>
      <c r="Z69" s="159" t="n">
        <v>7.92</v>
      </c>
      <c r="AA69" s="154"/>
      <c r="AB69" s="154"/>
      <c r="AC69" s="154"/>
      <c r="AD69" s="154"/>
      <c r="AE69" s="154"/>
      <c r="AF69" s="154"/>
      <c r="AG69" s="159" t="n">
        <v>4.7</v>
      </c>
      <c r="AH69" s="154"/>
      <c r="AI69" s="159" t="n">
        <v>7.93</v>
      </c>
      <c r="AJ69" s="159" t="n">
        <v>25.25</v>
      </c>
    </row>
    <row r="73" customFormat="false" ht="15" hidden="false" customHeight="false" outlineLevel="0" collapsed="false">
      <c r="A73" s="148" t="s">
        <v>923</v>
      </c>
      <c r="B73" s="148"/>
      <c r="C73" s="148"/>
      <c r="D73" s="148"/>
      <c r="E73" s="148"/>
      <c r="F73" s="148"/>
      <c r="G73" s="148"/>
      <c r="H73" s="148"/>
      <c r="I73" s="148"/>
      <c r="J73" s="148"/>
      <c r="K73" s="148"/>
      <c r="L73" s="148"/>
      <c r="M73" s="148"/>
      <c r="N73" s="148"/>
      <c r="W73" s="148" t="s">
        <v>924</v>
      </c>
      <c r="X73" s="148"/>
      <c r="Y73" s="148"/>
      <c r="Z73" s="148"/>
      <c r="AA73" s="148"/>
      <c r="AB73" s="148"/>
      <c r="AC73" s="148"/>
      <c r="AD73" s="148"/>
      <c r="AE73" s="148"/>
      <c r="AF73" s="148"/>
      <c r="AG73" s="148"/>
      <c r="AH73" s="148"/>
      <c r="AI73" s="148"/>
      <c r="AJ73" s="148"/>
    </row>
    <row r="74" customFormat="false" ht="15" hidden="false" customHeight="false" outlineLevel="0" collapsed="false">
      <c r="A74" s="123"/>
      <c r="B74" s="149" t="s">
        <v>33</v>
      </c>
      <c r="C74" s="149" t="s">
        <v>96</v>
      </c>
      <c r="D74" s="149" t="s">
        <v>34</v>
      </c>
      <c r="E74" s="149" t="s">
        <v>97</v>
      </c>
      <c r="F74" s="149" t="s">
        <v>98</v>
      </c>
      <c r="G74" s="149" t="s">
        <v>99</v>
      </c>
      <c r="H74" s="149" t="s">
        <v>112</v>
      </c>
      <c r="I74" s="149" t="s">
        <v>115</v>
      </c>
      <c r="J74" s="149" t="s">
        <v>119</v>
      </c>
      <c r="K74" s="149" t="s">
        <v>121</v>
      </c>
      <c r="L74" s="149" t="s">
        <v>123</v>
      </c>
      <c r="M74" s="149" t="s">
        <v>125</v>
      </c>
      <c r="N74" s="157" t="s">
        <v>914</v>
      </c>
      <c r="W74" s="123"/>
      <c r="X74" s="149" t="s">
        <v>33</v>
      </c>
      <c r="Y74" s="149" t="s">
        <v>96</v>
      </c>
      <c r="Z74" s="149" t="s">
        <v>34</v>
      </c>
      <c r="AA74" s="149" t="s">
        <v>97</v>
      </c>
      <c r="AB74" s="149" t="s">
        <v>98</v>
      </c>
      <c r="AC74" s="149" t="s">
        <v>99</v>
      </c>
      <c r="AD74" s="149" t="s">
        <v>112</v>
      </c>
      <c r="AE74" s="149" t="s">
        <v>115</v>
      </c>
      <c r="AF74" s="149" t="s">
        <v>119</v>
      </c>
      <c r="AG74" s="149" t="s">
        <v>121</v>
      </c>
      <c r="AH74" s="149" t="s">
        <v>123</v>
      </c>
      <c r="AI74" s="149" t="s">
        <v>125</v>
      </c>
      <c r="AJ74" s="157" t="s">
        <v>914</v>
      </c>
    </row>
    <row r="75" customFormat="false" ht="15" hidden="false" customHeight="false" outlineLevel="0" collapsed="false">
      <c r="A75" s="152" t="s">
        <v>65</v>
      </c>
      <c r="B75" s="154"/>
      <c r="C75" s="154"/>
      <c r="D75" s="154"/>
      <c r="E75" s="154"/>
      <c r="F75" s="154"/>
      <c r="G75" s="156" t="n">
        <v>1</v>
      </c>
      <c r="H75" s="154"/>
      <c r="I75" s="154"/>
      <c r="J75" s="154"/>
      <c r="K75" s="154"/>
      <c r="L75" s="154"/>
      <c r="M75" s="156" t="n">
        <v>1</v>
      </c>
      <c r="N75" s="158" t="n">
        <v>2</v>
      </c>
      <c r="W75" s="152" t="s">
        <v>65</v>
      </c>
      <c r="X75" s="154"/>
      <c r="Y75" s="154"/>
      <c r="Z75" s="154"/>
      <c r="AA75" s="154"/>
      <c r="AB75" s="154"/>
      <c r="AC75" s="153" t="n">
        <v>1.98</v>
      </c>
      <c r="AD75" s="154"/>
      <c r="AE75" s="154"/>
      <c r="AF75" s="154"/>
      <c r="AG75" s="154"/>
      <c r="AH75" s="154"/>
      <c r="AI75" s="153" t="n">
        <v>1.98</v>
      </c>
      <c r="AJ75" s="159" t="n">
        <v>3.96</v>
      </c>
    </row>
    <row r="76" customFormat="false" ht="15" hidden="false" customHeight="false" outlineLevel="0" collapsed="false">
      <c r="A76" s="152" t="s">
        <v>71</v>
      </c>
      <c r="B76" s="154"/>
      <c r="C76" s="154"/>
      <c r="D76" s="154"/>
      <c r="E76" s="156" t="n">
        <v>1</v>
      </c>
      <c r="F76" s="154"/>
      <c r="G76" s="154"/>
      <c r="H76" s="154"/>
      <c r="I76" s="154"/>
      <c r="J76" s="154"/>
      <c r="K76" s="156" t="n">
        <v>1</v>
      </c>
      <c r="L76" s="154"/>
      <c r="M76" s="154"/>
      <c r="N76" s="158" t="n">
        <v>2</v>
      </c>
      <c r="W76" s="152" t="s">
        <v>71</v>
      </c>
      <c r="X76" s="154"/>
      <c r="Y76" s="154"/>
      <c r="Z76" s="154"/>
      <c r="AA76" s="153" t="n">
        <v>2.35</v>
      </c>
      <c r="AB76" s="154"/>
      <c r="AC76" s="154"/>
      <c r="AD76" s="154"/>
      <c r="AE76" s="154"/>
      <c r="AF76" s="154"/>
      <c r="AG76" s="153" t="n">
        <v>2.35</v>
      </c>
      <c r="AH76" s="154"/>
      <c r="AI76" s="154"/>
      <c r="AJ76" s="159" t="n">
        <v>4.7</v>
      </c>
    </row>
    <row r="77" customFormat="false" ht="15" hidden="false" customHeight="false" outlineLevel="0" collapsed="false">
      <c r="A77" s="152" t="s">
        <v>74</v>
      </c>
      <c r="B77" s="154"/>
      <c r="C77" s="154"/>
      <c r="D77" s="154"/>
      <c r="E77" s="156" t="n">
        <v>1</v>
      </c>
      <c r="F77" s="154"/>
      <c r="G77" s="156" t="n">
        <v>1</v>
      </c>
      <c r="H77" s="154"/>
      <c r="I77" s="154"/>
      <c r="J77" s="154"/>
      <c r="K77" s="156" t="n">
        <v>1</v>
      </c>
      <c r="L77" s="154"/>
      <c r="M77" s="156" t="n">
        <v>1</v>
      </c>
      <c r="N77" s="158" t="n">
        <v>4</v>
      </c>
      <c r="W77" s="152" t="s">
        <v>74</v>
      </c>
      <c r="X77" s="154"/>
      <c r="Y77" s="154"/>
      <c r="Z77" s="154"/>
      <c r="AA77" s="153" t="n">
        <v>2.35</v>
      </c>
      <c r="AB77" s="154"/>
      <c r="AC77" s="153" t="n">
        <v>1.98</v>
      </c>
      <c r="AD77" s="154"/>
      <c r="AE77" s="154"/>
      <c r="AF77" s="154"/>
      <c r="AG77" s="153" t="n">
        <v>2.35</v>
      </c>
      <c r="AH77" s="154"/>
      <c r="AI77" s="153" t="n">
        <v>1.98</v>
      </c>
      <c r="AJ77" s="159" t="n">
        <v>8.66</v>
      </c>
    </row>
    <row r="78" customFormat="false" ht="15" hidden="false" customHeight="false" outlineLevel="0" collapsed="false">
      <c r="A78" s="152" t="s">
        <v>75</v>
      </c>
      <c r="B78" s="154"/>
      <c r="C78" s="154"/>
      <c r="D78" s="154"/>
      <c r="E78" s="154"/>
      <c r="F78" s="154"/>
      <c r="G78" s="156" t="n">
        <v>1</v>
      </c>
      <c r="H78" s="154"/>
      <c r="I78" s="154"/>
      <c r="J78" s="154"/>
      <c r="K78" s="154"/>
      <c r="L78" s="154"/>
      <c r="M78" s="156" t="n">
        <v>1</v>
      </c>
      <c r="N78" s="158" t="n">
        <v>2</v>
      </c>
      <c r="W78" s="152" t="s">
        <v>75</v>
      </c>
      <c r="X78" s="154"/>
      <c r="Y78" s="154"/>
      <c r="Z78" s="154"/>
      <c r="AA78" s="154"/>
      <c r="AB78" s="154"/>
      <c r="AC78" s="153" t="n">
        <v>1.98</v>
      </c>
      <c r="AD78" s="154"/>
      <c r="AE78" s="154"/>
      <c r="AF78" s="154"/>
      <c r="AG78" s="154"/>
      <c r="AH78" s="154"/>
      <c r="AI78" s="153" t="n">
        <v>1.99</v>
      </c>
      <c r="AJ78" s="159" t="n">
        <v>3.97</v>
      </c>
    </row>
    <row r="79" customFormat="false" ht="15" hidden="false" customHeight="false" outlineLevel="0" collapsed="false">
      <c r="A79" s="152" t="s">
        <v>70</v>
      </c>
      <c r="B79" s="154"/>
      <c r="C79" s="154"/>
      <c r="D79" s="154"/>
      <c r="E79" s="154"/>
      <c r="F79" s="154"/>
      <c r="G79" s="156" t="n">
        <v>1</v>
      </c>
      <c r="H79" s="154"/>
      <c r="I79" s="154"/>
      <c r="J79" s="154"/>
      <c r="K79" s="154"/>
      <c r="L79" s="154"/>
      <c r="M79" s="156" t="n">
        <v>1</v>
      </c>
      <c r="N79" s="158" t="n">
        <v>2</v>
      </c>
      <c r="W79" s="152" t="s">
        <v>70</v>
      </c>
      <c r="X79" s="154"/>
      <c r="Y79" s="154"/>
      <c r="Z79" s="154"/>
      <c r="AA79" s="154"/>
      <c r="AB79" s="154"/>
      <c r="AC79" s="153" t="n">
        <v>1.98</v>
      </c>
      <c r="AD79" s="154"/>
      <c r="AE79" s="154"/>
      <c r="AF79" s="154"/>
      <c r="AG79" s="154"/>
      <c r="AH79" s="154"/>
      <c r="AI79" s="153" t="n">
        <v>1.98</v>
      </c>
      <c r="AJ79" s="159" t="n">
        <v>3.96</v>
      </c>
    </row>
    <row r="80" customFormat="false" ht="15" hidden="false" customHeight="false" outlineLevel="0" collapsed="false">
      <c r="A80" s="160" t="s">
        <v>914</v>
      </c>
      <c r="B80" s="154"/>
      <c r="C80" s="154"/>
      <c r="D80" s="154"/>
      <c r="E80" s="158" t="n">
        <v>2</v>
      </c>
      <c r="F80" s="154"/>
      <c r="G80" s="158" t="n">
        <v>4</v>
      </c>
      <c r="H80" s="154"/>
      <c r="I80" s="154"/>
      <c r="J80" s="154"/>
      <c r="K80" s="158" t="n">
        <v>2</v>
      </c>
      <c r="L80" s="154"/>
      <c r="M80" s="158" t="n">
        <v>4</v>
      </c>
      <c r="N80" s="158" t="n">
        <v>12</v>
      </c>
      <c r="W80" s="160" t="s">
        <v>914</v>
      </c>
      <c r="X80" s="154"/>
      <c r="Y80" s="154"/>
      <c r="Z80" s="154"/>
      <c r="AA80" s="159" t="n">
        <v>4.7</v>
      </c>
      <c r="AB80" s="154"/>
      <c r="AC80" s="159" t="n">
        <v>7.92</v>
      </c>
      <c r="AD80" s="154"/>
      <c r="AE80" s="154"/>
      <c r="AF80" s="154"/>
      <c r="AG80" s="159" t="n">
        <v>4.7</v>
      </c>
      <c r="AH80" s="154"/>
      <c r="AI80" s="159" t="n">
        <v>7.93</v>
      </c>
      <c r="AJ80" s="159" t="n">
        <v>25.25</v>
      </c>
    </row>
    <row r="84" customFormat="false" ht="15" hidden="false" customHeight="false" outlineLevel="0" collapsed="false">
      <c r="A84" s="148" t="s">
        <v>925</v>
      </c>
      <c r="B84" s="148"/>
      <c r="C84" s="148"/>
      <c r="D84" s="148"/>
      <c r="E84" s="148"/>
      <c r="F84" s="148"/>
      <c r="G84" s="148"/>
      <c r="H84" s="148"/>
      <c r="I84" s="148"/>
      <c r="J84" s="148"/>
      <c r="K84" s="148"/>
      <c r="L84" s="148"/>
      <c r="M84" s="148"/>
      <c r="N84" s="148"/>
      <c r="W84" s="148" t="s">
        <v>926</v>
      </c>
      <c r="X84" s="148"/>
      <c r="Y84" s="148"/>
      <c r="Z84" s="148"/>
      <c r="AA84" s="148"/>
      <c r="AB84" s="148"/>
      <c r="AC84" s="148"/>
      <c r="AD84" s="148"/>
      <c r="AE84" s="148"/>
      <c r="AF84" s="148"/>
      <c r="AG84" s="148"/>
      <c r="AH84" s="148"/>
      <c r="AI84" s="148"/>
      <c r="AJ84" s="148"/>
    </row>
    <row r="85" customFormat="false" ht="15" hidden="false" customHeight="false" outlineLevel="0" collapsed="false">
      <c r="A85" s="123"/>
      <c r="B85" s="149" t="s">
        <v>33</v>
      </c>
      <c r="C85" s="149" t="s">
        <v>96</v>
      </c>
      <c r="D85" s="149" t="s">
        <v>34</v>
      </c>
      <c r="E85" s="149" t="s">
        <v>97</v>
      </c>
      <c r="F85" s="149" t="s">
        <v>98</v>
      </c>
      <c r="G85" s="149" t="s">
        <v>99</v>
      </c>
      <c r="H85" s="149" t="s">
        <v>112</v>
      </c>
      <c r="I85" s="149" t="s">
        <v>115</v>
      </c>
      <c r="J85" s="149" t="s">
        <v>119</v>
      </c>
      <c r="K85" s="149" t="s">
        <v>121</v>
      </c>
      <c r="L85" s="149" t="s">
        <v>123</v>
      </c>
      <c r="M85" s="149" t="s">
        <v>125</v>
      </c>
      <c r="N85" s="157" t="s">
        <v>914</v>
      </c>
      <c r="W85" s="123"/>
      <c r="X85" s="149" t="s">
        <v>33</v>
      </c>
      <c r="Y85" s="149" t="s">
        <v>96</v>
      </c>
      <c r="Z85" s="149" t="s">
        <v>34</v>
      </c>
      <c r="AA85" s="149" t="s">
        <v>97</v>
      </c>
      <c r="AB85" s="149" t="s">
        <v>98</v>
      </c>
      <c r="AC85" s="149" t="s">
        <v>99</v>
      </c>
      <c r="AD85" s="149" t="s">
        <v>112</v>
      </c>
      <c r="AE85" s="149" t="s">
        <v>115</v>
      </c>
      <c r="AF85" s="149" t="s">
        <v>119</v>
      </c>
      <c r="AG85" s="149" t="s">
        <v>121</v>
      </c>
      <c r="AH85" s="149" t="s">
        <v>123</v>
      </c>
      <c r="AI85" s="149" t="s">
        <v>125</v>
      </c>
      <c r="AJ85" s="157" t="s">
        <v>914</v>
      </c>
    </row>
    <row r="86" customFormat="false" ht="15" hidden="false" customHeight="false" outlineLevel="0" collapsed="false">
      <c r="A86" s="152" t="s">
        <v>65</v>
      </c>
      <c r="B86" s="154"/>
      <c r="C86" s="154"/>
      <c r="D86" s="156" t="n">
        <v>1</v>
      </c>
      <c r="E86" s="154"/>
      <c r="F86" s="154"/>
      <c r="G86" s="154"/>
      <c r="H86" s="154"/>
      <c r="I86" s="154"/>
      <c r="J86" s="156" t="n">
        <v>1</v>
      </c>
      <c r="K86" s="154"/>
      <c r="L86" s="154"/>
      <c r="M86" s="154"/>
      <c r="N86" s="158" t="n">
        <v>2</v>
      </c>
      <c r="W86" s="152" t="s">
        <v>65</v>
      </c>
      <c r="X86" s="154"/>
      <c r="Y86" s="154"/>
      <c r="Z86" s="153" t="n">
        <v>1.98</v>
      </c>
      <c r="AA86" s="154"/>
      <c r="AB86" s="154"/>
      <c r="AC86" s="154"/>
      <c r="AD86" s="154"/>
      <c r="AE86" s="154"/>
      <c r="AF86" s="153" t="n">
        <v>1.98</v>
      </c>
      <c r="AG86" s="154"/>
      <c r="AH86" s="154"/>
      <c r="AI86" s="154"/>
      <c r="AJ86" s="159" t="n">
        <v>3.96</v>
      </c>
    </row>
    <row r="87" customFormat="false" ht="15" hidden="false" customHeight="false" outlineLevel="0" collapsed="false">
      <c r="A87" s="152" t="s">
        <v>71</v>
      </c>
      <c r="B87" s="156" t="n">
        <v>1</v>
      </c>
      <c r="C87" s="154"/>
      <c r="D87" s="154"/>
      <c r="E87" s="154"/>
      <c r="F87" s="154"/>
      <c r="G87" s="154"/>
      <c r="H87" s="156" t="n">
        <v>1</v>
      </c>
      <c r="I87" s="154"/>
      <c r="J87" s="154"/>
      <c r="K87" s="154"/>
      <c r="L87" s="154"/>
      <c r="M87" s="154"/>
      <c r="N87" s="158" t="n">
        <v>2</v>
      </c>
      <c r="W87" s="152" t="s">
        <v>71</v>
      </c>
      <c r="X87" s="153" t="n">
        <v>2.35</v>
      </c>
      <c r="Y87" s="154"/>
      <c r="Z87" s="154"/>
      <c r="AA87" s="154"/>
      <c r="AB87" s="154"/>
      <c r="AC87" s="154"/>
      <c r="AD87" s="153" t="n">
        <v>2.35</v>
      </c>
      <c r="AE87" s="154"/>
      <c r="AF87" s="154"/>
      <c r="AG87" s="154"/>
      <c r="AH87" s="154"/>
      <c r="AI87" s="154"/>
      <c r="AJ87" s="159" t="n">
        <v>4.7</v>
      </c>
    </row>
    <row r="88" customFormat="false" ht="15" hidden="false" customHeight="false" outlineLevel="0" collapsed="false">
      <c r="A88" s="152" t="s">
        <v>74</v>
      </c>
      <c r="B88" s="156" t="n">
        <v>1</v>
      </c>
      <c r="C88" s="154"/>
      <c r="D88" s="156" t="n">
        <v>1</v>
      </c>
      <c r="E88" s="154"/>
      <c r="F88" s="154"/>
      <c r="G88" s="154"/>
      <c r="H88" s="156" t="n">
        <v>1</v>
      </c>
      <c r="I88" s="154"/>
      <c r="J88" s="156" t="n">
        <v>1</v>
      </c>
      <c r="K88" s="154"/>
      <c r="L88" s="154"/>
      <c r="M88" s="154"/>
      <c r="N88" s="158" t="n">
        <v>4</v>
      </c>
      <c r="W88" s="152" t="s">
        <v>74</v>
      </c>
      <c r="X88" s="153" t="n">
        <v>2.35</v>
      </c>
      <c r="Y88" s="154"/>
      <c r="Z88" s="153" t="n">
        <v>1.98</v>
      </c>
      <c r="AA88" s="154"/>
      <c r="AB88" s="154"/>
      <c r="AC88" s="154"/>
      <c r="AD88" s="153" t="n">
        <v>2.35</v>
      </c>
      <c r="AE88" s="154"/>
      <c r="AF88" s="153" t="n">
        <v>1.98</v>
      </c>
      <c r="AG88" s="154"/>
      <c r="AH88" s="154"/>
      <c r="AI88" s="154"/>
      <c r="AJ88" s="159" t="n">
        <v>8.66</v>
      </c>
    </row>
    <row r="89" customFormat="false" ht="15" hidden="false" customHeight="false" outlineLevel="0" collapsed="false">
      <c r="A89" s="152" t="s">
        <v>75</v>
      </c>
      <c r="B89" s="154"/>
      <c r="C89" s="154"/>
      <c r="D89" s="156" t="n">
        <v>1</v>
      </c>
      <c r="E89" s="154"/>
      <c r="F89" s="154"/>
      <c r="G89" s="154"/>
      <c r="H89" s="154"/>
      <c r="I89" s="154"/>
      <c r="J89" s="156" t="n">
        <v>1</v>
      </c>
      <c r="K89" s="154"/>
      <c r="L89" s="154"/>
      <c r="M89" s="154"/>
      <c r="N89" s="158" t="n">
        <v>2</v>
      </c>
      <c r="W89" s="152" t="s">
        <v>75</v>
      </c>
      <c r="X89" s="154"/>
      <c r="Y89" s="154"/>
      <c r="Z89" s="153" t="n">
        <v>1.98</v>
      </c>
      <c r="AA89" s="154"/>
      <c r="AB89" s="154"/>
      <c r="AC89" s="154"/>
      <c r="AD89" s="154"/>
      <c r="AE89" s="154"/>
      <c r="AF89" s="153" t="n">
        <v>1.99</v>
      </c>
      <c r="AG89" s="154"/>
      <c r="AH89" s="154"/>
      <c r="AI89" s="154"/>
      <c r="AJ89" s="159" t="n">
        <v>3.97</v>
      </c>
    </row>
    <row r="90" customFormat="false" ht="15" hidden="false" customHeight="false" outlineLevel="0" collapsed="false">
      <c r="A90" s="152" t="s">
        <v>70</v>
      </c>
      <c r="B90" s="154"/>
      <c r="C90" s="154"/>
      <c r="D90" s="156" t="n">
        <v>1</v>
      </c>
      <c r="E90" s="154"/>
      <c r="F90" s="154"/>
      <c r="G90" s="154"/>
      <c r="H90" s="154"/>
      <c r="I90" s="154"/>
      <c r="J90" s="156" t="n">
        <v>1</v>
      </c>
      <c r="K90" s="154"/>
      <c r="L90" s="154"/>
      <c r="M90" s="154"/>
      <c r="N90" s="158" t="n">
        <v>2</v>
      </c>
      <c r="W90" s="152" t="s">
        <v>70</v>
      </c>
      <c r="X90" s="154"/>
      <c r="Y90" s="154"/>
      <c r="Z90" s="153" t="n">
        <v>1.98</v>
      </c>
      <c r="AA90" s="154"/>
      <c r="AB90" s="154"/>
      <c r="AC90" s="154"/>
      <c r="AD90" s="154"/>
      <c r="AE90" s="154"/>
      <c r="AF90" s="153" t="n">
        <v>1.98</v>
      </c>
      <c r="AG90" s="154"/>
      <c r="AH90" s="154"/>
      <c r="AI90" s="154"/>
      <c r="AJ90" s="159" t="n">
        <v>3.96</v>
      </c>
    </row>
    <row r="91" customFormat="false" ht="15" hidden="false" customHeight="false" outlineLevel="0" collapsed="false">
      <c r="A91" s="160" t="s">
        <v>914</v>
      </c>
      <c r="B91" s="158" t="n">
        <v>2</v>
      </c>
      <c r="C91" s="154"/>
      <c r="D91" s="158" t="n">
        <v>4</v>
      </c>
      <c r="E91" s="154"/>
      <c r="F91" s="154"/>
      <c r="G91" s="154"/>
      <c r="H91" s="158" t="n">
        <v>2</v>
      </c>
      <c r="I91" s="154"/>
      <c r="J91" s="158" t="n">
        <v>4</v>
      </c>
      <c r="K91" s="154"/>
      <c r="L91" s="154"/>
      <c r="M91" s="154"/>
      <c r="N91" s="158" t="n">
        <v>12</v>
      </c>
      <c r="W91" s="160" t="s">
        <v>914</v>
      </c>
      <c r="X91" s="159" t="n">
        <v>4.7</v>
      </c>
      <c r="Y91" s="154"/>
      <c r="Z91" s="159" t="n">
        <v>7.92</v>
      </c>
      <c r="AA91" s="154"/>
      <c r="AB91" s="154"/>
      <c r="AC91" s="154"/>
      <c r="AD91" s="159" t="n">
        <v>4.7</v>
      </c>
      <c r="AE91" s="154"/>
      <c r="AF91" s="159" t="n">
        <v>7.93</v>
      </c>
      <c r="AG91" s="154"/>
      <c r="AH91" s="154"/>
      <c r="AI91" s="154"/>
      <c r="AJ91" s="159" t="n">
        <v>25.25</v>
      </c>
    </row>
  </sheetData>
  <mergeCells count="16">
    <mergeCell ref="C1:E3"/>
    <mergeCell ref="C4:E5"/>
    <mergeCell ref="A8:Q8"/>
    <mergeCell ref="W8:AM8"/>
    <mergeCell ref="A29:N29"/>
    <mergeCell ref="W29:AJ29"/>
    <mergeCell ref="A40:N40"/>
    <mergeCell ref="W40:AJ40"/>
    <mergeCell ref="A51:N51"/>
    <mergeCell ref="W51:AJ51"/>
    <mergeCell ref="A62:N62"/>
    <mergeCell ref="W62:AJ62"/>
    <mergeCell ref="A73:N73"/>
    <mergeCell ref="W73:AJ73"/>
    <mergeCell ref="A84:N84"/>
    <mergeCell ref="W84:AJ8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47"/>
  <sheetViews>
    <sheetView showFormulas="false" showGridLines="true" showRowColHeaders="true" showZeros="true" rightToLeft="false" tabSelected="false" showOutlineSymbols="true" defaultGridColor="true" view="normal" topLeftCell="A1" colorId="64" zoomScale="197" zoomScaleNormal="197" zoomScalePageLayoutView="100" workbookViewId="0">
      <selection pane="topLeft" activeCell="A1" activeCellId="0" sqref="A1"/>
    </sheetView>
  </sheetViews>
  <sheetFormatPr defaultColWidth="8.60546875" defaultRowHeight="15" customHeight="false" zeroHeight="false" outlineLevelRow="0" outlineLevelCol="0"/>
  <sheetData>
    <row r="1" customFormat="false" ht="19.5" hidden="false" customHeight="true" outlineLevel="0" collapsed="false">
      <c r="A1" s="1"/>
      <c r="B1" s="1"/>
      <c r="C1" s="2" t="s">
        <v>927</v>
      </c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customFormat="false" ht="19.5" hidden="false" customHeight="true" outlineLevel="0" collapsed="false">
      <c r="A2" s="1"/>
      <c r="B2" s="1"/>
      <c r="C2" s="2"/>
      <c r="D2" s="2"/>
      <c r="E2" s="2"/>
      <c r="F2" s="3"/>
      <c r="G2" s="4" t="s">
        <v>1</v>
      </c>
      <c r="H2" s="5" t="s">
        <v>2</v>
      </c>
      <c r="I2" s="3"/>
      <c r="J2" s="3"/>
      <c r="K2" s="3"/>
      <c r="L2" s="3"/>
      <c r="M2" s="3"/>
      <c r="N2" s="3"/>
      <c r="O2" s="3"/>
      <c r="P2" s="3"/>
      <c r="Q2" s="3"/>
      <c r="R2" s="3"/>
    </row>
    <row r="3" customFormat="false" ht="19.5" hidden="false" customHeight="true" outlineLevel="0" collapsed="false">
      <c r="A3" s="1"/>
      <c r="B3" s="1"/>
      <c r="C3" s="2"/>
      <c r="D3" s="2"/>
      <c r="E3" s="2"/>
      <c r="F3" s="3"/>
      <c r="G3" s="4" t="s">
        <v>3</v>
      </c>
      <c r="H3" s="5" t="s">
        <v>4</v>
      </c>
      <c r="I3" s="3"/>
      <c r="J3" s="3"/>
      <c r="K3" s="4" t="s">
        <v>5</v>
      </c>
      <c r="L3" s="6" t="s">
        <v>6</v>
      </c>
      <c r="M3" s="3"/>
      <c r="N3" s="3"/>
      <c r="O3" s="3"/>
      <c r="P3" s="3"/>
      <c r="Q3" s="3"/>
      <c r="R3" s="3"/>
    </row>
    <row r="4" customFormat="false" ht="19.5" hidden="false" customHeight="true" outlineLevel="0" collapsed="false">
      <c r="A4" s="1"/>
      <c r="B4" s="1"/>
      <c r="C4" s="7" t="s">
        <v>7</v>
      </c>
      <c r="D4" s="7"/>
      <c r="E4" s="7"/>
      <c r="F4" s="3"/>
      <c r="G4" s="4" t="s">
        <v>8</v>
      </c>
      <c r="H4" s="5" t="s">
        <v>9</v>
      </c>
      <c r="I4" s="3"/>
      <c r="J4" s="3"/>
      <c r="K4" s="4" t="s">
        <v>10</v>
      </c>
      <c r="L4" s="6" t="s">
        <v>11</v>
      </c>
      <c r="M4" s="3"/>
      <c r="N4" s="3"/>
      <c r="O4" s="3"/>
      <c r="P4" s="3"/>
      <c r="Q4" s="3"/>
      <c r="R4" s="3"/>
    </row>
    <row r="5" customFormat="false" ht="19.5" hidden="false" customHeight="true" outlineLevel="0" collapsed="false">
      <c r="A5" s="8"/>
      <c r="B5" s="8"/>
      <c r="C5" s="7"/>
      <c r="D5" s="7"/>
      <c r="E5" s="7"/>
      <c r="F5" s="9"/>
      <c r="G5" s="10" t="s">
        <v>12</v>
      </c>
      <c r="H5" s="11" t="s">
        <v>13</v>
      </c>
      <c r="I5" s="9"/>
      <c r="J5" s="9"/>
      <c r="K5" s="10" t="s">
        <v>14</v>
      </c>
      <c r="L5" s="12" t="s">
        <v>15</v>
      </c>
      <c r="M5" s="9"/>
      <c r="N5" s="9"/>
      <c r="O5" s="9"/>
      <c r="P5" s="9"/>
      <c r="Q5" s="9"/>
      <c r="R5" s="9"/>
    </row>
    <row r="8" customFormat="false" ht="15" hidden="false" customHeight="false" outlineLevel="0" collapsed="false">
      <c r="A8" s="147" t="s">
        <v>928</v>
      </c>
      <c r="B8" s="147"/>
      <c r="C8" s="147"/>
      <c r="D8" s="147"/>
      <c r="E8" s="147"/>
      <c r="F8" s="147"/>
      <c r="G8" s="147"/>
      <c r="H8" s="147"/>
      <c r="I8" s="147"/>
      <c r="J8" s="147"/>
      <c r="K8" s="147"/>
      <c r="L8" s="147"/>
      <c r="M8" s="147"/>
      <c r="N8" s="147"/>
      <c r="O8" s="147"/>
      <c r="P8" s="147"/>
    </row>
    <row r="9" customFormat="false" ht="15" hidden="false" customHeight="false" outlineLevel="0" collapsed="false">
      <c r="A9" s="147"/>
      <c r="B9" s="147"/>
      <c r="C9" s="147"/>
      <c r="D9" s="147"/>
      <c r="E9" s="147"/>
      <c r="F9" s="147"/>
      <c r="G9" s="147"/>
      <c r="H9" s="147"/>
      <c r="I9" s="147"/>
      <c r="J9" s="147"/>
      <c r="K9" s="147"/>
      <c r="L9" s="147"/>
      <c r="M9" s="147"/>
      <c r="N9" s="147"/>
      <c r="O9" s="147"/>
      <c r="P9" s="147"/>
    </row>
    <row r="11" customFormat="false" ht="15" hidden="false" customHeight="false" outlineLevel="0" collapsed="false">
      <c r="A11" s="148" t="s">
        <v>929</v>
      </c>
      <c r="B11" s="148"/>
      <c r="C11" s="148"/>
      <c r="D11" s="148"/>
      <c r="E11" s="148"/>
      <c r="F11" s="148"/>
      <c r="G11" s="148"/>
      <c r="H11" s="148"/>
      <c r="I11" s="148"/>
      <c r="J11" s="148"/>
      <c r="K11" s="148"/>
      <c r="L11" s="148"/>
      <c r="M11" s="148"/>
      <c r="N11" s="148"/>
      <c r="O11" s="148"/>
      <c r="P11" s="148"/>
      <c r="Q11" s="148"/>
      <c r="W11" s="148" t="s">
        <v>930</v>
      </c>
      <c r="X11" s="148"/>
      <c r="Y11" s="148"/>
      <c r="Z11" s="148"/>
      <c r="AA11" s="148"/>
      <c r="AB11" s="148"/>
      <c r="AC11" s="148"/>
      <c r="AD11" s="148"/>
      <c r="AE11" s="148"/>
      <c r="AF11" s="148"/>
      <c r="AG11" s="148"/>
      <c r="AH11" s="148"/>
      <c r="AI11" s="148"/>
      <c r="AJ11" s="148"/>
      <c r="AK11" s="148"/>
      <c r="AL11" s="148"/>
      <c r="AM11" s="148"/>
    </row>
    <row r="12" customFormat="false" ht="15" hidden="false" customHeight="false" outlineLevel="0" collapsed="false">
      <c r="A12" s="123"/>
      <c r="B12" s="149" t="s">
        <v>33</v>
      </c>
      <c r="C12" s="149" t="s">
        <v>96</v>
      </c>
      <c r="D12" s="149" t="s">
        <v>34</v>
      </c>
      <c r="E12" s="157" t="s">
        <v>914</v>
      </c>
      <c r="F12" s="149" t="s">
        <v>97</v>
      </c>
      <c r="G12" s="149" t="s">
        <v>98</v>
      </c>
      <c r="H12" s="149" t="s">
        <v>99</v>
      </c>
      <c r="I12" s="157" t="s">
        <v>914</v>
      </c>
      <c r="J12" s="149" t="s">
        <v>112</v>
      </c>
      <c r="K12" s="149" t="s">
        <v>115</v>
      </c>
      <c r="L12" s="149" t="s">
        <v>119</v>
      </c>
      <c r="M12" s="157" t="s">
        <v>914</v>
      </c>
      <c r="N12" s="149" t="s">
        <v>121</v>
      </c>
      <c r="O12" s="149" t="s">
        <v>123</v>
      </c>
      <c r="P12" s="149" t="s">
        <v>125</v>
      </c>
      <c r="Q12" s="157" t="s">
        <v>914</v>
      </c>
      <c r="W12" s="123"/>
      <c r="X12" s="149" t="s">
        <v>33</v>
      </c>
      <c r="Y12" s="149" t="s">
        <v>96</v>
      </c>
      <c r="Z12" s="149" t="s">
        <v>34</v>
      </c>
      <c r="AA12" s="157" t="s">
        <v>914</v>
      </c>
      <c r="AB12" s="149" t="s">
        <v>97</v>
      </c>
      <c r="AC12" s="149" t="s">
        <v>98</v>
      </c>
      <c r="AD12" s="149" t="s">
        <v>99</v>
      </c>
      <c r="AE12" s="157" t="s">
        <v>914</v>
      </c>
      <c r="AF12" s="149" t="s">
        <v>112</v>
      </c>
      <c r="AG12" s="149" t="s">
        <v>115</v>
      </c>
      <c r="AH12" s="149" t="s">
        <v>119</v>
      </c>
      <c r="AI12" s="157" t="s">
        <v>914</v>
      </c>
      <c r="AJ12" s="149" t="s">
        <v>121</v>
      </c>
      <c r="AK12" s="149" t="s">
        <v>123</v>
      </c>
      <c r="AL12" s="149" t="s">
        <v>125</v>
      </c>
      <c r="AM12" s="157" t="s">
        <v>914</v>
      </c>
    </row>
    <row r="13" customFormat="false" ht="15" hidden="false" customHeight="false" outlineLevel="0" collapsed="false">
      <c r="A13" s="152" t="s">
        <v>65</v>
      </c>
      <c r="B13" s="154"/>
      <c r="C13" s="154"/>
      <c r="D13" s="153" t="n">
        <v>-1.98</v>
      </c>
      <c r="E13" s="159" t="n">
        <v>-1.98</v>
      </c>
      <c r="F13" s="154"/>
      <c r="G13" s="154"/>
      <c r="H13" s="153" t="n">
        <v>-1.98</v>
      </c>
      <c r="I13" s="159" t="n">
        <v>-1.98</v>
      </c>
      <c r="J13" s="154"/>
      <c r="K13" s="154"/>
      <c r="L13" s="154"/>
      <c r="M13" s="154"/>
      <c r="N13" s="154"/>
      <c r="O13" s="154"/>
      <c r="P13" s="154"/>
      <c r="Q13" s="154"/>
      <c r="W13" s="152" t="s">
        <v>65</v>
      </c>
      <c r="X13" s="154"/>
      <c r="Y13" s="154"/>
      <c r="Z13" s="156" t="n">
        <v>1</v>
      </c>
      <c r="AA13" s="158" t="n">
        <v>1</v>
      </c>
      <c r="AB13" s="154"/>
      <c r="AC13" s="154"/>
      <c r="AD13" s="156" t="n">
        <v>1</v>
      </c>
      <c r="AE13" s="158" t="n">
        <v>1</v>
      </c>
      <c r="AF13" s="154"/>
      <c r="AG13" s="154"/>
      <c r="AH13" s="154"/>
      <c r="AI13" s="154"/>
      <c r="AJ13" s="154"/>
      <c r="AK13" s="154"/>
      <c r="AL13" s="154"/>
      <c r="AM13" s="154"/>
    </row>
    <row r="14" customFormat="false" ht="15" hidden="false" customHeight="false" outlineLevel="0" collapsed="false">
      <c r="A14" s="152" t="s">
        <v>71</v>
      </c>
      <c r="B14" s="153" t="n">
        <v>2.35</v>
      </c>
      <c r="C14" s="154"/>
      <c r="D14" s="154"/>
      <c r="E14" s="159" t="n">
        <v>2.35</v>
      </c>
      <c r="F14" s="153" t="n">
        <v>2.35</v>
      </c>
      <c r="G14" s="154"/>
      <c r="H14" s="154"/>
      <c r="I14" s="159" t="n">
        <v>2.35</v>
      </c>
      <c r="J14" s="154"/>
      <c r="K14" s="154"/>
      <c r="L14" s="154"/>
      <c r="M14" s="154"/>
      <c r="N14" s="154"/>
      <c r="O14" s="154"/>
      <c r="P14" s="154"/>
      <c r="Q14" s="154"/>
      <c r="W14" s="152" t="s">
        <v>71</v>
      </c>
      <c r="X14" s="156" t="n">
        <v>1</v>
      </c>
      <c r="Y14" s="154"/>
      <c r="Z14" s="154"/>
      <c r="AA14" s="158" t="n">
        <v>1</v>
      </c>
      <c r="AB14" s="156" t="n">
        <v>1</v>
      </c>
      <c r="AC14" s="154"/>
      <c r="AD14" s="154"/>
      <c r="AE14" s="158" t="n">
        <v>1</v>
      </c>
      <c r="AF14" s="154"/>
      <c r="AG14" s="154"/>
      <c r="AH14" s="154"/>
      <c r="AI14" s="154"/>
      <c r="AJ14" s="154"/>
      <c r="AK14" s="154"/>
      <c r="AL14" s="154"/>
      <c r="AM14" s="154"/>
    </row>
    <row r="15" customFormat="false" ht="15" hidden="false" customHeight="false" outlineLevel="0" collapsed="false">
      <c r="A15" s="152" t="s">
        <v>74</v>
      </c>
      <c r="B15" s="153" t="n">
        <v>2.35</v>
      </c>
      <c r="C15" s="154"/>
      <c r="D15" s="153" t="n">
        <v>-1.98</v>
      </c>
      <c r="E15" s="159" t="n">
        <v>0.37</v>
      </c>
      <c r="F15" s="153" t="n">
        <v>2.35</v>
      </c>
      <c r="G15" s="154"/>
      <c r="H15" s="153" t="n">
        <v>-1.98</v>
      </c>
      <c r="I15" s="159" t="n">
        <v>0.37</v>
      </c>
      <c r="J15" s="154"/>
      <c r="K15" s="154"/>
      <c r="L15" s="154"/>
      <c r="M15" s="154"/>
      <c r="N15" s="154"/>
      <c r="O15" s="154"/>
      <c r="P15" s="154"/>
      <c r="Q15" s="154"/>
      <c r="W15" s="152" t="s">
        <v>74</v>
      </c>
      <c r="X15" s="156" t="n">
        <v>1</v>
      </c>
      <c r="Y15" s="154"/>
      <c r="Z15" s="156" t="n">
        <v>1</v>
      </c>
      <c r="AA15" s="158" t="n">
        <v>2</v>
      </c>
      <c r="AB15" s="156" t="n">
        <v>1</v>
      </c>
      <c r="AC15" s="154"/>
      <c r="AD15" s="156" t="n">
        <v>1</v>
      </c>
      <c r="AE15" s="158" t="n">
        <v>2</v>
      </c>
      <c r="AF15" s="154"/>
      <c r="AG15" s="154"/>
      <c r="AH15" s="154"/>
      <c r="AI15" s="154"/>
      <c r="AJ15" s="154"/>
      <c r="AK15" s="154"/>
      <c r="AL15" s="154"/>
      <c r="AM15" s="154"/>
    </row>
    <row r="16" customFormat="false" ht="15" hidden="false" customHeight="false" outlineLevel="0" collapsed="false">
      <c r="A16" s="152" t="s">
        <v>75</v>
      </c>
      <c r="B16" s="154"/>
      <c r="C16" s="154"/>
      <c r="D16" s="153" t="n">
        <v>-1.98</v>
      </c>
      <c r="E16" s="159" t="n">
        <v>-1.98</v>
      </c>
      <c r="F16" s="154"/>
      <c r="G16" s="154"/>
      <c r="H16" s="153" t="n">
        <v>-1.98</v>
      </c>
      <c r="I16" s="159" t="n">
        <v>-1.98</v>
      </c>
      <c r="J16" s="154"/>
      <c r="K16" s="154"/>
      <c r="L16" s="154"/>
      <c r="M16" s="154"/>
      <c r="N16" s="154"/>
      <c r="O16" s="154"/>
      <c r="P16" s="154"/>
      <c r="Q16" s="154"/>
      <c r="W16" s="152" t="s">
        <v>75</v>
      </c>
      <c r="X16" s="154"/>
      <c r="Y16" s="154"/>
      <c r="Z16" s="156" t="n">
        <v>1</v>
      </c>
      <c r="AA16" s="158" t="n">
        <v>1</v>
      </c>
      <c r="AB16" s="154"/>
      <c r="AC16" s="154"/>
      <c r="AD16" s="156" t="n">
        <v>1</v>
      </c>
      <c r="AE16" s="158" t="n">
        <v>1</v>
      </c>
      <c r="AF16" s="154"/>
      <c r="AG16" s="154"/>
      <c r="AH16" s="154"/>
      <c r="AI16" s="154"/>
      <c r="AJ16" s="154"/>
      <c r="AK16" s="154"/>
      <c r="AL16" s="154"/>
      <c r="AM16" s="154"/>
    </row>
    <row r="17" customFormat="false" ht="15" hidden="false" customHeight="false" outlineLevel="0" collapsed="false">
      <c r="A17" s="152" t="s">
        <v>70</v>
      </c>
      <c r="B17" s="154"/>
      <c r="C17" s="154"/>
      <c r="D17" s="153" t="n">
        <v>-1.98</v>
      </c>
      <c r="E17" s="159" t="n">
        <v>-1.98</v>
      </c>
      <c r="F17" s="154"/>
      <c r="G17" s="154"/>
      <c r="H17" s="153" t="n">
        <v>-1.98</v>
      </c>
      <c r="I17" s="159" t="n">
        <v>-1.98</v>
      </c>
      <c r="J17" s="154"/>
      <c r="K17" s="154"/>
      <c r="L17" s="154"/>
      <c r="M17" s="154"/>
      <c r="N17" s="154"/>
      <c r="O17" s="154"/>
      <c r="P17" s="154"/>
      <c r="Q17" s="154"/>
      <c r="W17" s="152" t="s">
        <v>70</v>
      </c>
      <c r="X17" s="154"/>
      <c r="Y17" s="154"/>
      <c r="Z17" s="156" t="n">
        <v>1</v>
      </c>
      <c r="AA17" s="158" t="n">
        <v>1</v>
      </c>
      <c r="AB17" s="154"/>
      <c r="AC17" s="154"/>
      <c r="AD17" s="156" t="n">
        <v>1</v>
      </c>
      <c r="AE17" s="158" t="n">
        <v>1</v>
      </c>
      <c r="AF17" s="154"/>
      <c r="AG17" s="154"/>
      <c r="AH17" s="154"/>
      <c r="AI17" s="154"/>
      <c r="AJ17" s="154"/>
      <c r="AK17" s="154"/>
      <c r="AL17" s="154"/>
      <c r="AM17" s="154"/>
    </row>
    <row r="21" customFormat="false" ht="15" hidden="false" customHeight="false" outlineLevel="0" collapsed="false">
      <c r="A21" s="148" t="s">
        <v>931</v>
      </c>
      <c r="B21" s="148"/>
      <c r="C21" s="148"/>
      <c r="D21" s="148"/>
      <c r="E21" s="148"/>
      <c r="F21" s="148"/>
      <c r="G21" s="148"/>
      <c r="H21" s="148"/>
      <c r="I21" s="148"/>
      <c r="J21" s="148"/>
      <c r="K21" s="148"/>
      <c r="L21" s="148"/>
      <c r="M21" s="148"/>
      <c r="N21" s="148"/>
      <c r="O21" s="148"/>
      <c r="P21" s="148"/>
      <c r="Q21" s="148"/>
      <c r="W21" s="148" t="s">
        <v>932</v>
      </c>
      <c r="X21" s="148"/>
      <c r="Y21" s="148"/>
      <c r="Z21" s="148"/>
      <c r="AA21" s="148"/>
      <c r="AB21" s="148"/>
      <c r="AC21" s="148"/>
      <c r="AD21" s="148"/>
      <c r="AE21" s="148"/>
      <c r="AF21" s="148"/>
      <c r="AG21" s="148"/>
      <c r="AH21" s="148"/>
      <c r="AI21" s="148"/>
      <c r="AJ21" s="148"/>
      <c r="AK21" s="148"/>
      <c r="AL21" s="148"/>
      <c r="AM21" s="148"/>
    </row>
    <row r="22" customFormat="false" ht="15" hidden="false" customHeight="false" outlineLevel="0" collapsed="false">
      <c r="A22" s="123"/>
      <c r="B22" s="149" t="s">
        <v>33</v>
      </c>
      <c r="C22" s="149" t="s">
        <v>96</v>
      </c>
      <c r="D22" s="149" t="s">
        <v>34</v>
      </c>
      <c r="E22" s="157" t="s">
        <v>914</v>
      </c>
      <c r="F22" s="149" t="s">
        <v>97</v>
      </c>
      <c r="G22" s="149" t="s">
        <v>98</v>
      </c>
      <c r="H22" s="149" t="s">
        <v>99</v>
      </c>
      <c r="I22" s="157" t="s">
        <v>914</v>
      </c>
      <c r="J22" s="149" t="s">
        <v>112</v>
      </c>
      <c r="K22" s="149" t="s">
        <v>115</v>
      </c>
      <c r="L22" s="149" t="s">
        <v>119</v>
      </c>
      <c r="M22" s="157" t="s">
        <v>914</v>
      </c>
      <c r="N22" s="149" t="s">
        <v>121</v>
      </c>
      <c r="O22" s="149" t="s">
        <v>123</v>
      </c>
      <c r="P22" s="149" t="s">
        <v>125</v>
      </c>
      <c r="Q22" s="157" t="s">
        <v>914</v>
      </c>
      <c r="W22" s="123"/>
      <c r="X22" s="149" t="s">
        <v>33</v>
      </c>
      <c r="Y22" s="149" t="s">
        <v>96</v>
      </c>
      <c r="Z22" s="149" t="s">
        <v>34</v>
      </c>
      <c r="AA22" s="157" t="s">
        <v>914</v>
      </c>
      <c r="AB22" s="149" t="s">
        <v>97</v>
      </c>
      <c r="AC22" s="149" t="s">
        <v>98</v>
      </c>
      <c r="AD22" s="149" t="s">
        <v>99</v>
      </c>
      <c r="AE22" s="157" t="s">
        <v>914</v>
      </c>
      <c r="AF22" s="149" t="s">
        <v>112</v>
      </c>
      <c r="AG22" s="149" t="s">
        <v>115</v>
      </c>
      <c r="AH22" s="149" t="s">
        <v>119</v>
      </c>
      <c r="AI22" s="157" t="s">
        <v>914</v>
      </c>
      <c r="AJ22" s="149" t="s">
        <v>121</v>
      </c>
      <c r="AK22" s="149" t="s">
        <v>123</v>
      </c>
      <c r="AL22" s="149" t="s">
        <v>125</v>
      </c>
      <c r="AM22" s="157" t="s">
        <v>914</v>
      </c>
    </row>
    <row r="23" customFormat="false" ht="15" hidden="false" customHeight="false" outlineLevel="0" collapsed="false">
      <c r="A23" s="152" t="s">
        <v>65</v>
      </c>
      <c r="B23" s="154"/>
      <c r="C23" s="154"/>
      <c r="D23" s="153" t="n">
        <v>1.98</v>
      </c>
      <c r="E23" s="159" t="n">
        <v>1.98</v>
      </c>
      <c r="F23" s="154"/>
      <c r="G23" s="154"/>
      <c r="H23" s="153" t="n">
        <v>1.98</v>
      </c>
      <c r="I23" s="159" t="n">
        <v>1.98</v>
      </c>
      <c r="J23" s="154"/>
      <c r="K23" s="154"/>
      <c r="L23" s="154"/>
      <c r="M23" s="154"/>
      <c r="N23" s="154"/>
      <c r="O23" s="154"/>
      <c r="P23" s="154"/>
      <c r="Q23" s="154"/>
      <c r="W23" s="152" t="s">
        <v>65</v>
      </c>
      <c r="X23" s="154"/>
      <c r="Y23" s="154"/>
      <c r="Z23" s="154"/>
      <c r="AA23" s="154"/>
      <c r="AB23" s="154"/>
      <c r="AC23" s="154"/>
      <c r="AD23" s="154"/>
      <c r="AE23" s="154"/>
      <c r="AF23" s="154"/>
      <c r="AG23" s="154"/>
      <c r="AH23" s="154"/>
      <c r="AI23" s="154"/>
      <c r="AJ23" s="154"/>
      <c r="AK23" s="154"/>
      <c r="AL23" s="154"/>
      <c r="AM23" s="154"/>
    </row>
    <row r="24" customFormat="false" ht="15" hidden="false" customHeight="false" outlineLevel="0" collapsed="false">
      <c r="A24" s="152" t="s">
        <v>71</v>
      </c>
      <c r="B24" s="153" t="n">
        <v>2.35</v>
      </c>
      <c r="C24" s="154"/>
      <c r="D24" s="154"/>
      <c r="E24" s="159" t="n">
        <v>2.35</v>
      </c>
      <c r="F24" s="153" t="n">
        <v>2.35</v>
      </c>
      <c r="G24" s="154"/>
      <c r="H24" s="154"/>
      <c r="I24" s="159" t="n">
        <v>2.35</v>
      </c>
      <c r="J24" s="154"/>
      <c r="K24" s="154"/>
      <c r="L24" s="154"/>
      <c r="M24" s="154"/>
      <c r="N24" s="154"/>
      <c r="O24" s="154"/>
      <c r="P24" s="154"/>
      <c r="Q24" s="154"/>
      <c r="W24" s="152" t="s">
        <v>71</v>
      </c>
      <c r="X24" s="154"/>
      <c r="Y24" s="154"/>
      <c r="Z24" s="154"/>
      <c r="AA24" s="154"/>
      <c r="AB24" s="154"/>
      <c r="AC24" s="154"/>
      <c r="AD24" s="154"/>
      <c r="AE24" s="154"/>
      <c r="AF24" s="154"/>
      <c r="AG24" s="154"/>
      <c r="AH24" s="154"/>
      <c r="AI24" s="154"/>
      <c r="AJ24" s="154"/>
      <c r="AK24" s="154"/>
      <c r="AL24" s="154"/>
      <c r="AM24" s="154"/>
    </row>
    <row r="25" customFormat="false" ht="15" hidden="false" customHeight="false" outlineLevel="0" collapsed="false">
      <c r="A25" s="152" t="s">
        <v>74</v>
      </c>
      <c r="B25" s="153" t="n">
        <v>2.35</v>
      </c>
      <c r="C25" s="154"/>
      <c r="D25" s="153" t="n">
        <v>1.98</v>
      </c>
      <c r="E25" s="159" t="n">
        <v>4.33</v>
      </c>
      <c r="F25" s="153" t="n">
        <v>2.35</v>
      </c>
      <c r="G25" s="154"/>
      <c r="H25" s="153" t="n">
        <v>1.98</v>
      </c>
      <c r="I25" s="159" t="n">
        <v>4.33</v>
      </c>
      <c r="J25" s="154"/>
      <c r="K25" s="154"/>
      <c r="L25" s="154"/>
      <c r="M25" s="154"/>
      <c r="N25" s="154"/>
      <c r="O25" s="154"/>
      <c r="P25" s="154"/>
      <c r="Q25" s="154"/>
      <c r="W25" s="152" t="s">
        <v>74</v>
      </c>
      <c r="X25" s="154"/>
      <c r="Y25" s="154"/>
      <c r="Z25" s="154"/>
      <c r="AA25" s="154"/>
      <c r="AB25" s="154"/>
      <c r="AC25" s="154"/>
      <c r="AD25" s="154"/>
      <c r="AE25" s="154"/>
      <c r="AF25" s="154"/>
      <c r="AG25" s="154"/>
      <c r="AH25" s="154"/>
      <c r="AI25" s="154"/>
      <c r="AJ25" s="154"/>
      <c r="AK25" s="154"/>
      <c r="AL25" s="154"/>
      <c r="AM25" s="154"/>
    </row>
    <row r="26" customFormat="false" ht="15" hidden="false" customHeight="false" outlineLevel="0" collapsed="false">
      <c r="A26" s="152" t="s">
        <v>75</v>
      </c>
      <c r="B26" s="154"/>
      <c r="C26" s="154"/>
      <c r="D26" s="153" t="n">
        <v>1.98</v>
      </c>
      <c r="E26" s="159" t="n">
        <v>1.98</v>
      </c>
      <c r="F26" s="154"/>
      <c r="G26" s="154"/>
      <c r="H26" s="153" t="n">
        <v>1.98</v>
      </c>
      <c r="I26" s="159" t="n">
        <v>1.98</v>
      </c>
      <c r="J26" s="154"/>
      <c r="K26" s="154"/>
      <c r="L26" s="154"/>
      <c r="M26" s="154"/>
      <c r="N26" s="154"/>
      <c r="O26" s="154"/>
      <c r="P26" s="154"/>
      <c r="Q26" s="154"/>
      <c r="W26" s="152" t="s">
        <v>75</v>
      </c>
      <c r="X26" s="154"/>
      <c r="Y26" s="154"/>
      <c r="Z26" s="154"/>
      <c r="AA26" s="154"/>
      <c r="AB26" s="154"/>
      <c r="AC26" s="154"/>
      <c r="AD26" s="154"/>
      <c r="AE26" s="154"/>
      <c r="AF26" s="154"/>
      <c r="AG26" s="154"/>
      <c r="AH26" s="154"/>
      <c r="AI26" s="154"/>
      <c r="AJ26" s="154"/>
      <c r="AK26" s="154"/>
      <c r="AL26" s="154"/>
      <c r="AM26" s="154"/>
    </row>
    <row r="27" customFormat="false" ht="15" hidden="false" customHeight="false" outlineLevel="0" collapsed="false">
      <c r="A27" s="152" t="s">
        <v>70</v>
      </c>
      <c r="B27" s="154"/>
      <c r="C27" s="154"/>
      <c r="D27" s="153" t="n">
        <v>1.98</v>
      </c>
      <c r="E27" s="159" t="n">
        <v>1.98</v>
      </c>
      <c r="F27" s="154"/>
      <c r="G27" s="154"/>
      <c r="H27" s="153" t="n">
        <v>1.98</v>
      </c>
      <c r="I27" s="159" t="n">
        <v>1.98</v>
      </c>
      <c r="J27" s="154"/>
      <c r="K27" s="154"/>
      <c r="L27" s="154"/>
      <c r="M27" s="154"/>
      <c r="N27" s="154"/>
      <c r="O27" s="154"/>
      <c r="P27" s="154"/>
      <c r="Q27" s="154"/>
      <c r="W27" s="152" t="s">
        <v>70</v>
      </c>
      <c r="X27" s="154"/>
      <c r="Y27" s="154"/>
      <c r="Z27" s="154"/>
      <c r="AA27" s="154"/>
      <c r="AB27" s="154"/>
      <c r="AC27" s="154"/>
      <c r="AD27" s="154"/>
      <c r="AE27" s="154"/>
      <c r="AF27" s="154"/>
      <c r="AG27" s="154"/>
      <c r="AH27" s="154"/>
      <c r="AI27" s="154"/>
      <c r="AJ27" s="154"/>
      <c r="AK27" s="154"/>
      <c r="AL27" s="154"/>
      <c r="AM27" s="154"/>
    </row>
    <row r="32" customFormat="false" ht="15" hidden="false" customHeight="false" outlineLevel="0" collapsed="false">
      <c r="A32" s="147" t="s">
        <v>933</v>
      </c>
      <c r="B32" s="147"/>
      <c r="C32" s="147"/>
      <c r="D32" s="147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</row>
    <row r="33" customFormat="false" ht="15" hidden="false" customHeight="false" outlineLevel="0" collapsed="false">
      <c r="A33" s="147"/>
      <c r="B33" s="147"/>
      <c r="C33" s="147"/>
      <c r="D33" s="147"/>
      <c r="E33" s="147"/>
      <c r="F33" s="147"/>
      <c r="G33" s="147"/>
      <c r="H33" s="147"/>
      <c r="I33" s="147"/>
      <c r="J33" s="147"/>
      <c r="K33" s="147"/>
      <c r="L33" s="147"/>
      <c r="M33" s="147"/>
      <c r="N33" s="147"/>
      <c r="O33" s="147"/>
      <c r="P33" s="147"/>
    </row>
    <row r="35" customFormat="false" ht="15" hidden="false" customHeight="false" outlineLevel="0" collapsed="false">
      <c r="A35" s="148" t="s">
        <v>934</v>
      </c>
      <c r="B35" s="148"/>
      <c r="C35" s="148"/>
      <c r="D35" s="148"/>
      <c r="E35" s="148"/>
      <c r="F35" s="148"/>
      <c r="G35" s="148"/>
      <c r="H35" s="148"/>
      <c r="I35" s="148"/>
      <c r="J35" s="148"/>
      <c r="K35" s="148"/>
      <c r="L35" s="148"/>
      <c r="M35" s="148"/>
      <c r="N35" s="148"/>
      <c r="O35" s="148"/>
      <c r="P35" s="148"/>
      <c r="Q35" s="148"/>
      <c r="W35" s="148" t="s">
        <v>935</v>
      </c>
      <c r="X35" s="148"/>
      <c r="Y35" s="148"/>
      <c r="Z35" s="148"/>
      <c r="AA35" s="148"/>
      <c r="AB35" s="148"/>
      <c r="AC35" s="148"/>
      <c r="AD35" s="148"/>
      <c r="AE35" s="148"/>
      <c r="AF35" s="148"/>
      <c r="AG35" s="148"/>
      <c r="AH35" s="148"/>
      <c r="AI35" s="148"/>
      <c r="AJ35" s="148"/>
      <c r="AK35" s="148"/>
      <c r="AL35" s="148"/>
      <c r="AM35" s="148"/>
    </row>
    <row r="36" customFormat="false" ht="15" hidden="false" customHeight="false" outlineLevel="0" collapsed="false">
      <c r="A36" s="123"/>
      <c r="B36" s="149" t="s">
        <v>33</v>
      </c>
      <c r="C36" s="149" t="s">
        <v>96</v>
      </c>
      <c r="D36" s="149" t="s">
        <v>34</v>
      </c>
      <c r="E36" s="157" t="s">
        <v>914</v>
      </c>
      <c r="F36" s="149" t="s">
        <v>97</v>
      </c>
      <c r="G36" s="149" t="s">
        <v>98</v>
      </c>
      <c r="H36" s="149" t="s">
        <v>99</v>
      </c>
      <c r="I36" s="157" t="s">
        <v>914</v>
      </c>
      <c r="J36" s="149" t="s">
        <v>112</v>
      </c>
      <c r="K36" s="149" t="s">
        <v>115</v>
      </c>
      <c r="L36" s="149" t="s">
        <v>119</v>
      </c>
      <c r="M36" s="157" t="s">
        <v>914</v>
      </c>
      <c r="N36" s="149" t="s">
        <v>121</v>
      </c>
      <c r="O36" s="149" t="s">
        <v>123</v>
      </c>
      <c r="P36" s="149" t="s">
        <v>125</v>
      </c>
      <c r="Q36" s="157" t="s">
        <v>914</v>
      </c>
      <c r="W36" s="123"/>
      <c r="X36" s="149" t="s">
        <v>33</v>
      </c>
      <c r="Y36" s="149" t="s">
        <v>96</v>
      </c>
      <c r="Z36" s="149" t="s">
        <v>34</v>
      </c>
      <c r="AA36" s="157" t="s">
        <v>914</v>
      </c>
      <c r="AB36" s="149" t="s">
        <v>97</v>
      </c>
      <c r="AC36" s="149" t="s">
        <v>98</v>
      </c>
      <c r="AD36" s="149" t="s">
        <v>99</v>
      </c>
      <c r="AE36" s="157" t="s">
        <v>914</v>
      </c>
      <c r="AF36" s="149" t="s">
        <v>112</v>
      </c>
      <c r="AG36" s="149" t="s">
        <v>115</v>
      </c>
      <c r="AH36" s="149" t="s">
        <v>119</v>
      </c>
      <c r="AI36" s="157" t="s">
        <v>914</v>
      </c>
      <c r="AJ36" s="149" t="s">
        <v>121</v>
      </c>
      <c r="AK36" s="149" t="s">
        <v>123</v>
      </c>
      <c r="AL36" s="149" t="s">
        <v>125</v>
      </c>
      <c r="AM36" s="157" t="s">
        <v>914</v>
      </c>
    </row>
    <row r="37" customFormat="false" ht="15" hidden="false" customHeight="false" outlineLevel="0" collapsed="false">
      <c r="A37" s="152" t="s">
        <v>65</v>
      </c>
      <c r="B37" s="154"/>
      <c r="C37" s="154"/>
      <c r="D37" s="154"/>
      <c r="E37" s="154"/>
      <c r="F37" s="154"/>
      <c r="G37" s="154"/>
      <c r="H37" s="154"/>
      <c r="I37" s="154"/>
      <c r="J37" s="154"/>
      <c r="K37" s="154"/>
      <c r="L37" s="153" t="n">
        <v>-1.98</v>
      </c>
      <c r="M37" s="159" t="n">
        <v>-1.98</v>
      </c>
      <c r="N37" s="154"/>
      <c r="O37" s="154"/>
      <c r="P37" s="153" t="n">
        <v>-1.98</v>
      </c>
      <c r="Q37" s="159" t="n">
        <v>-1.98</v>
      </c>
      <c r="W37" s="152" t="s">
        <v>65</v>
      </c>
      <c r="X37" s="154"/>
      <c r="Y37" s="154"/>
      <c r="Z37" s="154"/>
      <c r="AA37" s="154"/>
      <c r="AB37" s="154"/>
      <c r="AC37" s="154"/>
      <c r="AD37" s="154"/>
      <c r="AE37" s="154"/>
      <c r="AF37" s="154"/>
      <c r="AG37" s="154"/>
      <c r="AH37" s="156" t="n">
        <v>1</v>
      </c>
      <c r="AI37" s="158" t="n">
        <v>1</v>
      </c>
      <c r="AJ37" s="154"/>
      <c r="AK37" s="154"/>
      <c r="AL37" s="156" t="n">
        <v>1</v>
      </c>
      <c r="AM37" s="158" t="n">
        <v>1</v>
      </c>
    </row>
    <row r="38" customFormat="false" ht="15" hidden="false" customHeight="false" outlineLevel="0" collapsed="false">
      <c r="A38" s="152" t="s">
        <v>71</v>
      </c>
      <c r="B38" s="154"/>
      <c r="C38" s="154"/>
      <c r="D38" s="154"/>
      <c r="E38" s="154"/>
      <c r="F38" s="154"/>
      <c r="G38" s="154"/>
      <c r="H38" s="154"/>
      <c r="I38" s="154"/>
      <c r="J38" s="153" t="n">
        <v>2.35</v>
      </c>
      <c r="K38" s="154"/>
      <c r="L38" s="154"/>
      <c r="M38" s="159" t="n">
        <v>2.35</v>
      </c>
      <c r="N38" s="153" t="n">
        <v>2.35</v>
      </c>
      <c r="O38" s="154"/>
      <c r="P38" s="154"/>
      <c r="Q38" s="159" t="n">
        <v>2.35</v>
      </c>
      <c r="W38" s="152" t="s">
        <v>71</v>
      </c>
      <c r="X38" s="154"/>
      <c r="Y38" s="154"/>
      <c r="Z38" s="154"/>
      <c r="AA38" s="154"/>
      <c r="AB38" s="154"/>
      <c r="AC38" s="154"/>
      <c r="AD38" s="154"/>
      <c r="AE38" s="154"/>
      <c r="AF38" s="156" t="n">
        <v>1</v>
      </c>
      <c r="AG38" s="154"/>
      <c r="AH38" s="154"/>
      <c r="AI38" s="158" t="n">
        <v>1</v>
      </c>
      <c r="AJ38" s="156" t="n">
        <v>1</v>
      </c>
      <c r="AK38" s="154"/>
      <c r="AL38" s="154"/>
      <c r="AM38" s="158" t="n">
        <v>1</v>
      </c>
    </row>
    <row r="39" customFormat="false" ht="15" hidden="false" customHeight="false" outlineLevel="0" collapsed="false">
      <c r="A39" s="152" t="s">
        <v>74</v>
      </c>
      <c r="B39" s="154"/>
      <c r="C39" s="154"/>
      <c r="D39" s="154"/>
      <c r="E39" s="154"/>
      <c r="F39" s="154"/>
      <c r="G39" s="154"/>
      <c r="H39" s="154"/>
      <c r="I39" s="154"/>
      <c r="J39" s="153" t="n">
        <v>2.35</v>
      </c>
      <c r="K39" s="154"/>
      <c r="L39" s="153" t="n">
        <v>-1.98</v>
      </c>
      <c r="M39" s="159" t="n">
        <v>0.37</v>
      </c>
      <c r="N39" s="153" t="n">
        <v>2.35</v>
      </c>
      <c r="O39" s="154"/>
      <c r="P39" s="153" t="n">
        <v>-1.98</v>
      </c>
      <c r="Q39" s="159" t="n">
        <v>0.37</v>
      </c>
      <c r="W39" s="152" t="s">
        <v>74</v>
      </c>
      <c r="X39" s="154"/>
      <c r="Y39" s="154"/>
      <c r="Z39" s="154"/>
      <c r="AA39" s="154"/>
      <c r="AB39" s="154"/>
      <c r="AC39" s="154"/>
      <c r="AD39" s="154"/>
      <c r="AE39" s="154"/>
      <c r="AF39" s="156" t="n">
        <v>1</v>
      </c>
      <c r="AG39" s="154"/>
      <c r="AH39" s="156" t="n">
        <v>1</v>
      </c>
      <c r="AI39" s="158" t="n">
        <v>2</v>
      </c>
      <c r="AJ39" s="156" t="n">
        <v>1</v>
      </c>
      <c r="AK39" s="154"/>
      <c r="AL39" s="156" t="n">
        <v>1</v>
      </c>
      <c r="AM39" s="158" t="n">
        <v>2</v>
      </c>
    </row>
    <row r="40" customFormat="false" ht="15" hidden="false" customHeight="false" outlineLevel="0" collapsed="false">
      <c r="A40" s="152" t="s">
        <v>75</v>
      </c>
      <c r="B40" s="154"/>
      <c r="C40" s="154"/>
      <c r="D40" s="154"/>
      <c r="E40" s="154"/>
      <c r="F40" s="154"/>
      <c r="G40" s="154"/>
      <c r="H40" s="154"/>
      <c r="I40" s="154"/>
      <c r="J40" s="154"/>
      <c r="K40" s="154"/>
      <c r="L40" s="153" t="n">
        <v>-1.99</v>
      </c>
      <c r="M40" s="159" t="n">
        <v>-1.99</v>
      </c>
      <c r="N40" s="154"/>
      <c r="O40" s="154"/>
      <c r="P40" s="153" t="n">
        <v>-1.99</v>
      </c>
      <c r="Q40" s="159" t="n">
        <v>-1.99</v>
      </c>
      <c r="W40" s="152" t="s">
        <v>75</v>
      </c>
      <c r="X40" s="154"/>
      <c r="Y40" s="154"/>
      <c r="Z40" s="154"/>
      <c r="AA40" s="154"/>
      <c r="AB40" s="154"/>
      <c r="AC40" s="154"/>
      <c r="AD40" s="154"/>
      <c r="AE40" s="154"/>
      <c r="AF40" s="154"/>
      <c r="AG40" s="154"/>
      <c r="AH40" s="156" t="n">
        <v>1</v>
      </c>
      <c r="AI40" s="158" t="n">
        <v>1</v>
      </c>
      <c r="AJ40" s="154"/>
      <c r="AK40" s="154"/>
      <c r="AL40" s="156" t="n">
        <v>1</v>
      </c>
      <c r="AM40" s="158" t="n">
        <v>1</v>
      </c>
    </row>
    <row r="41" customFormat="false" ht="15" hidden="false" customHeight="false" outlineLevel="0" collapsed="false">
      <c r="A41" s="152" t="s">
        <v>70</v>
      </c>
      <c r="B41" s="154"/>
      <c r="C41" s="154"/>
      <c r="D41" s="154"/>
      <c r="E41" s="154"/>
      <c r="F41" s="154"/>
      <c r="G41" s="154"/>
      <c r="H41" s="154"/>
      <c r="I41" s="154"/>
      <c r="J41" s="154"/>
      <c r="K41" s="154"/>
      <c r="L41" s="153" t="n">
        <v>-1.98</v>
      </c>
      <c r="M41" s="159" t="n">
        <v>-1.98</v>
      </c>
      <c r="N41" s="154"/>
      <c r="O41" s="154"/>
      <c r="P41" s="153" t="n">
        <v>-1.98</v>
      </c>
      <c r="Q41" s="159" t="n">
        <v>-1.98</v>
      </c>
      <c r="W41" s="152" t="s">
        <v>70</v>
      </c>
      <c r="X41" s="154"/>
      <c r="Y41" s="154"/>
      <c r="Z41" s="154"/>
      <c r="AA41" s="154"/>
      <c r="AB41" s="154"/>
      <c r="AC41" s="154"/>
      <c r="AD41" s="154"/>
      <c r="AE41" s="154"/>
      <c r="AF41" s="154"/>
      <c r="AG41" s="154"/>
      <c r="AH41" s="156" t="n">
        <v>1</v>
      </c>
      <c r="AI41" s="158" t="n">
        <v>1</v>
      </c>
      <c r="AJ41" s="154"/>
      <c r="AK41" s="154"/>
      <c r="AL41" s="156" t="n">
        <v>1</v>
      </c>
      <c r="AM41" s="158" t="n">
        <v>1</v>
      </c>
    </row>
    <row r="45" customFormat="false" ht="15" hidden="false" customHeight="false" outlineLevel="0" collapsed="false">
      <c r="A45" s="148" t="s">
        <v>936</v>
      </c>
      <c r="B45" s="148"/>
      <c r="C45" s="148"/>
      <c r="D45" s="148"/>
      <c r="E45" s="148"/>
      <c r="F45" s="148"/>
      <c r="G45" s="148"/>
      <c r="H45" s="148"/>
      <c r="I45" s="148"/>
      <c r="J45" s="148"/>
      <c r="K45" s="148"/>
      <c r="L45" s="148"/>
      <c r="M45" s="148"/>
      <c r="N45" s="148"/>
      <c r="O45" s="148"/>
      <c r="P45" s="148"/>
      <c r="Q45" s="148"/>
      <c r="W45" s="148" t="s">
        <v>937</v>
      </c>
      <c r="X45" s="148"/>
      <c r="Y45" s="148"/>
      <c r="Z45" s="148"/>
      <c r="AA45" s="148"/>
      <c r="AB45" s="148"/>
      <c r="AC45" s="148"/>
      <c r="AD45" s="148"/>
      <c r="AE45" s="148"/>
      <c r="AF45" s="148"/>
      <c r="AG45" s="148"/>
      <c r="AH45" s="148"/>
      <c r="AI45" s="148"/>
      <c r="AJ45" s="148"/>
      <c r="AK45" s="148"/>
      <c r="AL45" s="148"/>
      <c r="AM45" s="148"/>
    </row>
    <row r="46" customFormat="false" ht="15" hidden="false" customHeight="false" outlineLevel="0" collapsed="false">
      <c r="A46" s="123"/>
      <c r="B46" s="149" t="s">
        <v>33</v>
      </c>
      <c r="C46" s="149" t="s">
        <v>96</v>
      </c>
      <c r="D46" s="149" t="s">
        <v>34</v>
      </c>
      <c r="E46" s="157" t="s">
        <v>914</v>
      </c>
      <c r="F46" s="149" t="s">
        <v>97</v>
      </c>
      <c r="G46" s="149" t="s">
        <v>98</v>
      </c>
      <c r="H46" s="149" t="s">
        <v>99</v>
      </c>
      <c r="I46" s="157" t="s">
        <v>914</v>
      </c>
      <c r="J46" s="149" t="s">
        <v>112</v>
      </c>
      <c r="K46" s="149" t="s">
        <v>115</v>
      </c>
      <c r="L46" s="149" t="s">
        <v>119</v>
      </c>
      <c r="M46" s="157" t="s">
        <v>914</v>
      </c>
      <c r="N46" s="149" t="s">
        <v>121</v>
      </c>
      <c r="O46" s="149" t="s">
        <v>123</v>
      </c>
      <c r="P46" s="149" t="s">
        <v>125</v>
      </c>
      <c r="Q46" s="157" t="s">
        <v>914</v>
      </c>
      <c r="W46" s="123"/>
      <c r="X46" s="149" t="s">
        <v>33</v>
      </c>
      <c r="Y46" s="149" t="s">
        <v>96</v>
      </c>
      <c r="Z46" s="149" t="s">
        <v>34</v>
      </c>
      <c r="AA46" s="157" t="s">
        <v>914</v>
      </c>
      <c r="AB46" s="149" t="s">
        <v>97</v>
      </c>
      <c r="AC46" s="149" t="s">
        <v>98</v>
      </c>
      <c r="AD46" s="149" t="s">
        <v>99</v>
      </c>
      <c r="AE46" s="157" t="s">
        <v>914</v>
      </c>
      <c r="AF46" s="149" t="s">
        <v>112</v>
      </c>
      <c r="AG46" s="149" t="s">
        <v>115</v>
      </c>
      <c r="AH46" s="149" t="s">
        <v>119</v>
      </c>
      <c r="AI46" s="157" t="s">
        <v>914</v>
      </c>
      <c r="AJ46" s="149" t="s">
        <v>121</v>
      </c>
      <c r="AK46" s="149" t="s">
        <v>123</v>
      </c>
      <c r="AL46" s="149" t="s">
        <v>125</v>
      </c>
      <c r="AM46" s="157" t="s">
        <v>914</v>
      </c>
    </row>
    <row r="47" customFormat="false" ht="15" hidden="false" customHeight="false" outlineLevel="0" collapsed="false">
      <c r="A47" s="152" t="s">
        <v>65</v>
      </c>
      <c r="B47" s="154"/>
      <c r="C47" s="154"/>
      <c r="D47" s="154"/>
      <c r="E47" s="154"/>
      <c r="F47" s="154"/>
      <c r="G47" s="154"/>
      <c r="H47" s="154"/>
      <c r="I47" s="154"/>
      <c r="J47" s="154"/>
      <c r="K47" s="154"/>
      <c r="L47" s="153" t="n">
        <v>1.98</v>
      </c>
      <c r="M47" s="159" t="n">
        <v>1.98</v>
      </c>
      <c r="N47" s="154"/>
      <c r="O47" s="154"/>
      <c r="P47" s="153" t="n">
        <v>1.98</v>
      </c>
      <c r="Q47" s="159" t="n">
        <v>1.98</v>
      </c>
      <c r="W47" s="152" t="s">
        <v>65</v>
      </c>
      <c r="X47" s="154"/>
      <c r="Y47" s="154"/>
      <c r="Z47" s="154"/>
      <c r="AA47" s="154"/>
      <c r="AB47" s="154"/>
      <c r="AC47" s="154"/>
      <c r="AD47" s="154"/>
      <c r="AE47" s="154"/>
      <c r="AF47" s="154"/>
      <c r="AG47" s="154"/>
      <c r="AH47" s="154"/>
      <c r="AI47" s="154"/>
      <c r="AJ47" s="154"/>
      <c r="AK47" s="154"/>
      <c r="AL47" s="154"/>
      <c r="AM47" s="154"/>
    </row>
    <row r="48" customFormat="false" ht="15" hidden="false" customHeight="false" outlineLevel="0" collapsed="false">
      <c r="A48" s="152" t="s">
        <v>71</v>
      </c>
      <c r="B48" s="154"/>
      <c r="C48" s="154"/>
      <c r="D48" s="154"/>
      <c r="E48" s="154"/>
      <c r="F48" s="154"/>
      <c r="G48" s="154"/>
      <c r="H48" s="154"/>
      <c r="I48" s="154"/>
      <c r="J48" s="153" t="n">
        <v>2.35</v>
      </c>
      <c r="K48" s="154"/>
      <c r="L48" s="154"/>
      <c r="M48" s="159" t="n">
        <v>2.35</v>
      </c>
      <c r="N48" s="153" t="n">
        <v>2.35</v>
      </c>
      <c r="O48" s="154"/>
      <c r="P48" s="154"/>
      <c r="Q48" s="159" t="n">
        <v>2.35</v>
      </c>
      <c r="W48" s="152" t="s">
        <v>71</v>
      </c>
      <c r="X48" s="154"/>
      <c r="Y48" s="154"/>
      <c r="Z48" s="154"/>
      <c r="AA48" s="154"/>
      <c r="AB48" s="154"/>
      <c r="AC48" s="154"/>
      <c r="AD48" s="154"/>
      <c r="AE48" s="154"/>
      <c r="AF48" s="154"/>
      <c r="AG48" s="154"/>
      <c r="AH48" s="154"/>
      <c r="AI48" s="154"/>
      <c r="AJ48" s="154"/>
      <c r="AK48" s="154"/>
      <c r="AL48" s="154"/>
      <c r="AM48" s="154"/>
    </row>
    <row r="49" customFormat="false" ht="15" hidden="false" customHeight="false" outlineLevel="0" collapsed="false">
      <c r="A49" s="152" t="s">
        <v>74</v>
      </c>
      <c r="B49" s="154"/>
      <c r="C49" s="154"/>
      <c r="D49" s="154"/>
      <c r="E49" s="154"/>
      <c r="F49" s="154"/>
      <c r="G49" s="154"/>
      <c r="H49" s="154"/>
      <c r="I49" s="154"/>
      <c r="J49" s="153" t="n">
        <v>2.35</v>
      </c>
      <c r="K49" s="154"/>
      <c r="L49" s="153" t="n">
        <v>1.98</v>
      </c>
      <c r="M49" s="159" t="n">
        <v>4.33</v>
      </c>
      <c r="N49" s="153" t="n">
        <v>2.35</v>
      </c>
      <c r="O49" s="154"/>
      <c r="P49" s="153" t="n">
        <v>1.98</v>
      </c>
      <c r="Q49" s="159" t="n">
        <v>4.33</v>
      </c>
      <c r="W49" s="152" t="s">
        <v>74</v>
      </c>
      <c r="X49" s="154"/>
      <c r="Y49" s="154"/>
      <c r="Z49" s="154"/>
      <c r="AA49" s="154"/>
      <c r="AB49" s="154"/>
      <c r="AC49" s="154"/>
      <c r="AD49" s="154"/>
      <c r="AE49" s="154"/>
      <c r="AF49" s="154"/>
      <c r="AG49" s="154"/>
      <c r="AH49" s="154"/>
      <c r="AI49" s="154"/>
      <c r="AJ49" s="154"/>
      <c r="AK49" s="154"/>
      <c r="AL49" s="154"/>
      <c r="AM49" s="154"/>
    </row>
    <row r="50" customFormat="false" ht="15" hidden="false" customHeight="false" outlineLevel="0" collapsed="false">
      <c r="A50" s="152" t="s">
        <v>75</v>
      </c>
      <c r="B50" s="154"/>
      <c r="C50" s="154"/>
      <c r="D50" s="154"/>
      <c r="E50" s="154"/>
      <c r="F50" s="154"/>
      <c r="G50" s="154"/>
      <c r="H50" s="154"/>
      <c r="I50" s="154"/>
      <c r="J50" s="154"/>
      <c r="K50" s="154"/>
      <c r="L50" s="153" t="n">
        <v>1.99</v>
      </c>
      <c r="M50" s="159" t="n">
        <v>1.99</v>
      </c>
      <c r="N50" s="154"/>
      <c r="O50" s="154"/>
      <c r="P50" s="153" t="n">
        <v>1.99</v>
      </c>
      <c r="Q50" s="159" t="n">
        <v>1.99</v>
      </c>
      <c r="W50" s="152" t="s">
        <v>75</v>
      </c>
      <c r="X50" s="154"/>
      <c r="Y50" s="154"/>
      <c r="Z50" s="154"/>
      <c r="AA50" s="154"/>
      <c r="AB50" s="154"/>
      <c r="AC50" s="154"/>
      <c r="AD50" s="154"/>
      <c r="AE50" s="154"/>
      <c r="AF50" s="154"/>
      <c r="AG50" s="154"/>
      <c r="AH50" s="154"/>
      <c r="AI50" s="154"/>
      <c r="AJ50" s="154"/>
      <c r="AK50" s="154"/>
      <c r="AL50" s="154"/>
      <c r="AM50" s="154"/>
    </row>
    <row r="51" customFormat="false" ht="15" hidden="false" customHeight="false" outlineLevel="0" collapsed="false">
      <c r="A51" s="152" t="s">
        <v>70</v>
      </c>
      <c r="B51" s="154"/>
      <c r="C51" s="154"/>
      <c r="D51" s="154"/>
      <c r="E51" s="154"/>
      <c r="F51" s="154"/>
      <c r="G51" s="154"/>
      <c r="H51" s="154"/>
      <c r="I51" s="154"/>
      <c r="J51" s="154"/>
      <c r="K51" s="154"/>
      <c r="L51" s="153" t="n">
        <v>1.98</v>
      </c>
      <c r="M51" s="159" t="n">
        <v>1.98</v>
      </c>
      <c r="N51" s="154"/>
      <c r="O51" s="154"/>
      <c r="P51" s="153" t="n">
        <v>1.98</v>
      </c>
      <c r="Q51" s="159" t="n">
        <v>1.98</v>
      </c>
      <c r="W51" s="152" t="s">
        <v>70</v>
      </c>
      <c r="X51" s="154"/>
      <c r="Y51" s="154"/>
      <c r="Z51" s="154"/>
      <c r="AA51" s="154"/>
      <c r="AB51" s="154"/>
      <c r="AC51" s="154"/>
      <c r="AD51" s="154"/>
      <c r="AE51" s="154"/>
      <c r="AF51" s="154"/>
      <c r="AG51" s="154"/>
      <c r="AH51" s="154"/>
      <c r="AI51" s="154"/>
      <c r="AJ51" s="154"/>
      <c r="AK51" s="154"/>
      <c r="AL51" s="154"/>
      <c r="AM51" s="154"/>
    </row>
    <row r="56" customFormat="false" ht="15" hidden="false" customHeight="false" outlineLevel="0" collapsed="false">
      <c r="A56" s="147" t="s">
        <v>938</v>
      </c>
      <c r="B56" s="147"/>
      <c r="C56" s="147"/>
      <c r="D56" s="147"/>
      <c r="E56" s="147"/>
      <c r="F56" s="147"/>
      <c r="G56" s="147"/>
      <c r="H56" s="147"/>
      <c r="I56" s="147"/>
      <c r="J56" s="147"/>
      <c r="K56" s="147"/>
      <c r="L56" s="147"/>
      <c r="M56" s="147"/>
      <c r="N56" s="147"/>
      <c r="O56" s="147"/>
      <c r="P56" s="147"/>
    </row>
    <row r="57" customFormat="false" ht="15" hidden="false" customHeight="false" outlineLevel="0" collapsed="false">
      <c r="A57" s="147"/>
      <c r="B57" s="147"/>
      <c r="C57" s="147"/>
      <c r="D57" s="147"/>
      <c r="E57" s="147"/>
      <c r="F57" s="147"/>
      <c r="G57" s="147"/>
      <c r="H57" s="147"/>
      <c r="I57" s="147"/>
      <c r="J57" s="147"/>
      <c r="K57" s="147"/>
      <c r="L57" s="147"/>
      <c r="M57" s="147"/>
      <c r="N57" s="147"/>
      <c r="O57" s="147"/>
      <c r="P57" s="147"/>
    </row>
    <row r="59" customFormat="false" ht="15" hidden="false" customHeight="false" outlineLevel="0" collapsed="false">
      <c r="A59" s="148" t="s">
        <v>939</v>
      </c>
      <c r="B59" s="148"/>
      <c r="C59" s="148"/>
      <c r="D59" s="148"/>
      <c r="E59" s="148"/>
      <c r="F59" s="148"/>
      <c r="G59" s="148"/>
      <c r="H59" s="148"/>
      <c r="I59" s="148"/>
      <c r="J59" s="148"/>
      <c r="K59" s="148"/>
      <c r="L59" s="148"/>
      <c r="M59" s="148"/>
      <c r="N59" s="148"/>
      <c r="O59" s="148"/>
      <c r="P59" s="148"/>
      <c r="Q59" s="148"/>
      <c r="W59" s="148" t="s">
        <v>940</v>
      </c>
      <c r="X59" s="148"/>
      <c r="Y59" s="148"/>
      <c r="Z59" s="148"/>
      <c r="AA59" s="148"/>
      <c r="AB59" s="148"/>
      <c r="AC59" s="148"/>
      <c r="AD59" s="148"/>
      <c r="AE59" s="148"/>
      <c r="AF59" s="148"/>
      <c r="AG59" s="148"/>
      <c r="AH59" s="148"/>
      <c r="AI59" s="148"/>
      <c r="AJ59" s="148"/>
      <c r="AK59" s="148"/>
      <c r="AL59" s="148"/>
      <c r="AM59" s="148"/>
    </row>
    <row r="60" customFormat="false" ht="15" hidden="false" customHeight="false" outlineLevel="0" collapsed="false">
      <c r="A60" s="123"/>
      <c r="B60" s="149" t="s">
        <v>33</v>
      </c>
      <c r="C60" s="149" t="s">
        <v>96</v>
      </c>
      <c r="D60" s="149" t="s">
        <v>34</v>
      </c>
      <c r="E60" s="157" t="s">
        <v>914</v>
      </c>
      <c r="F60" s="149" t="s">
        <v>97</v>
      </c>
      <c r="G60" s="149" t="s">
        <v>98</v>
      </c>
      <c r="H60" s="149" t="s">
        <v>99</v>
      </c>
      <c r="I60" s="157" t="s">
        <v>914</v>
      </c>
      <c r="J60" s="149" t="s">
        <v>112</v>
      </c>
      <c r="K60" s="149" t="s">
        <v>115</v>
      </c>
      <c r="L60" s="149" t="s">
        <v>119</v>
      </c>
      <c r="M60" s="157" t="s">
        <v>914</v>
      </c>
      <c r="N60" s="149" t="s">
        <v>121</v>
      </c>
      <c r="O60" s="149" t="s">
        <v>123</v>
      </c>
      <c r="P60" s="149" t="s">
        <v>125</v>
      </c>
      <c r="Q60" s="157" t="s">
        <v>914</v>
      </c>
      <c r="W60" s="123"/>
      <c r="X60" s="149" t="s">
        <v>33</v>
      </c>
      <c r="Y60" s="149" t="s">
        <v>96</v>
      </c>
      <c r="Z60" s="149" t="s">
        <v>34</v>
      </c>
      <c r="AA60" s="157" t="s">
        <v>914</v>
      </c>
      <c r="AB60" s="149" t="s">
        <v>97</v>
      </c>
      <c r="AC60" s="149" t="s">
        <v>98</v>
      </c>
      <c r="AD60" s="149" t="s">
        <v>99</v>
      </c>
      <c r="AE60" s="157" t="s">
        <v>914</v>
      </c>
      <c r="AF60" s="149" t="s">
        <v>112</v>
      </c>
      <c r="AG60" s="149" t="s">
        <v>115</v>
      </c>
      <c r="AH60" s="149" t="s">
        <v>119</v>
      </c>
      <c r="AI60" s="157" t="s">
        <v>914</v>
      </c>
      <c r="AJ60" s="149" t="s">
        <v>121</v>
      </c>
      <c r="AK60" s="149" t="s">
        <v>123</v>
      </c>
      <c r="AL60" s="149" t="s">
        <v>125</v>
      </c>
      <c r="AM60" s="157" t="s">
        <v>914</v>
      </c>
    </row>
    <row r="61" customFormat="false" ht="15" hidden="false" customHeight="false" outlineLevel="0" collapsed="false">
      <c r="A61" s="152" t="s">
        <v>65</v>
      </c>
      <c r="B61" s="154"/>
      <c r="C61" s="154"/>
      <c r="D61" s="154"/>
      <c r="E61" s="154"/>
      <c r="F61" s="154"/>
      <c r="G61" s="154"/>
      <c r="H61" s="153" t="n">
        <v>-1.98</v>
      </c>
      <c r="I61" s="159" t="n">
        <v>-1.98</v>
      </c>
      <c r="J61" s="154"/>
      <c r="K61" s="154"/>
      <c r="L61" s="153" t="n">
        <v>-1.98</v>
      </c>
      <c r="M61" s="159" t="n">
        <v>-1.98</v>
      </c>
      <c r="N61" s="154"/>
      <c r="O61" s="154"/>
      <c r="P61" s="154"/>
      <c r="Q61" s="154"/>
      <c r="W61" s="152" t="s">
        <v>65</v>
      </c>
      <c r="X61" s="154"/>
      <c r="Y61" s="154"/>
      <c r="Z61" s="154"/>
      <c r="AA61" s="154"/>
      <c r="AB61" s="154"/>
      <c r="AC61" s="154"/>
      <c r="AD61" s="156" t="n">
        <v>1</v>
      </c>
      <c r="AE61" s="158" t="n">
        <v>1</v>
      </c>
      <c r="AF61" s="154"/>
      <c r="AG61" s="154"/>
      <c r="AH61" s="156" t="n">
        <v>1</v>
      </c>
      <c r="AI61" s="158" t="n">
        <v>1</v>
      </c>
      <c r="AJ61" s="154"/>
      <c r="AK61" s="154"/>
      <c r="AL61" s="154"/>
      <c r="AM61" s="154"/>
    </row>
    <row r="62" customFormat="false" ht="15" hidden="false" customHeight="false" outlineLevel="0" collapsed="false">
      <c r="A62" s="152" t="s">
        <v>71</v>
      </c>
      <c r="B62" s="154"/>
      <c r="C62" s="154"/>
      <c r="D62" s="154"/>
      <c r="E62" s="154"/>
      <c r="F62" s="153" t="n">
        <v>2.35</v>
      </c>
      <c r="G62" s="154"/>
      <c r="H62" s="154"/>
      <c r="I62" s="159" t="n">
        <v>2.35</v>
      </c>
      <c r="J62" s="153" t="n">
        <v>2.35</v>
      </c>
      <c r="K62" s="154"/>
      <c r="L62" s="154"/>
      <c r="M62" s="159" t="n">
        <v>2.35</v>
      </c>
      <c r="N62" s="154"/>
      <c r="O62" s="154"/>
      <c r="P62" s="154"/>
      <c r="Q62" s="154"/>
      <c r="W62" s="152" t="s">
        <v>71</v>
      </c>
      <c r="X62" s="154"/>
      <c r="Y62" s="154"/>
      <c r="Z62" s="154"/>
      <c r="AA62" s="154"/>
      <c r="AB62" s="156" t="n">
        <v>1</v>
      </c>
      <c r="AC62" s="154"/>
      <c r="AD62" s="154"/>
      <c r="AE62" s="158" t="n">
        <v>1</v>
      </c>
      <c r="AF62" s="156" t="n">
        <v>1</v>
      </c>
      <c r="AG62" s="154"/>
      <c r="AH62" s="154"/>
      <c r="AI62" s="158" t="n">
        <v>1</v>
      </c>
      <c r="AJ62" s="154"/>
      <c r="AK62" s="154"/>
      <c r="AL62" s="154"/>
      <c r="AM62" s="154"/>
    </row>
    <row r="63" customFormat="false" ht="15" hidden="false" customHeight="false" outlineLevel="0" collapsed="false">
      <c r="A63" s="152" t="s">
        <v>74</v>
      </c>
      <c r="B63" s="154"/>
      <c r="C63" s="154"/>
      <c r="D63" s="154"/>
      <c r="E63" s="154"/>
      <c r="F63" s="153" t="n">
        <v>2.35</v>
      </c>
      <c r="G63" s="154"/>
      <c r="H63" s="153" t="n">
        <v>-1.98</v>
      </c>
      <c r="I63" s="159" t="n">
        <v>0.37</v>
      </c>
      <c r="J63" s="153" t="n">
        <v>2.35</v>
      </c>
      <c r="K63" s="154"/>
      <c r="L63" s="153" t="n">
        <v>-1.98</v>
      </c>
      <c r="M63" s="159" t="n">
        <v>0.37</v>
      </c>
      <c r="N63" s="154"/>
      <c r="O63" s="154"/>
      <c r="P63" s="154"/>
      <c r="Q63" s="154"/>
      <c r="W63" s="152" t="s">
        <v>74</v>
      </c>
      <c r="X63" s="154"/>
      <c r="Y63" s="154"/>
      <c r="Z63" s="154"/>
      <c r="AA63" s="154"/>
      <c r="AB63" s="156" t="n">
        <v>1</v>
      </c>
      <c r="AC63" s="154"/>
      <c r="AD63" s="156" t="n">
        <v>1</v>
      </c>
      <c r="AE63" s="158" t="n">
        <v>2</v>
      </c>
      <c r="AF63" s="156" t="n">
        <v>1</v>
      </c>
      <c r="AG63" s="154"/>
      <c r="AH63" s="156" t="n">
        <v>1</v>
      </c>
      <c r="AI63" s="158" t="n">
        <v>2</v>
      </c>
      <c r="AJ63" s="154"/>
      <c r="AK63" s="154"/>
      <c r="AL63" s="154"/>
      <c r="AM63" s="154"/>
    </row>
    <row r="64" customFormat="false" ht="15" hidden="false" customHeight="false" outlineLevel="0" collapsed="false">
      <c r="A64" s="152" t="s">
        <v>75</v>
      </c>
      <c r="B64" s="154"/>
      <c r="C64" s="154"/>
      <c r="D64" s="154"/>
      <c r="E64" s="154"/>
      <c r="F64" s="154"/>
      <c r="G64" s="154"/>
      <c r="H64" s="153" t="n">
        <v>-1.98</v>
      </c>
      <c r="I64" s="159" t="n">
        <v>-1.98</v>
      </c>
      <c r="J64" s="154"/>
      <c r="K64" s="154"/>
      <c r="L64" s="153" t="n">
        <v>-1.99</v>
      </c>
      <c r="M64" s="159" t="n">
        <v>-1.99</v>
      </c>
      <c r="N64" s="154"/>
      <c r="O64" s="154"/>
      <c r="P64" s="154"/>
      <c r="Q64" s="154"/>
      <c r="W64" s="152" t="s">
        <v>75</v>
      </c>
      <c r="X64" s="154"/>
      <c r="Y64" s="154"/>
      <c r="Z64" s="154"/>
      <c r="AA64" s="154"/>
      <c r="AB64" s="154"/>
      <c r="AC64" s="154"/>
      <c r="AD64" s="156" t="n">
        <v>1</v>
      </c>
      <c r="AE64" s="158" t="n">
        <v>1</v>
      </c>
      <c r="AF64" s="154"/>
      <c r="AG64" s="154"/>
      <c r="AH64" s="156" t="n">
        <v>1</v>
      </c>
      <c r="AI64" s="158" t="n">
        <v>1</v>
      </c>
      <c r="AJ64" s="154"/>
      <c r="AK64" s="154"/>
      <c r="AL64" s="154"/>
      <c r="AM64" s="154"/>
    </row>
    <row r="65" customFormat="false" ht="15" hidden="false" customHeight="false" outlineLevel="0" collapsed="false">
      <c r="A65" s="152" t="s">
        <v>70</v>
      </c>
      <c r="B65" s="154"/>
      <c r="C65" s="154"/>
      <c r="D65" s="154"/>
      <c r="E65" s="154"/>
      <c r="F65" s="154"/>
      <c r="G65" s="154"/>
      <c r="H65" s="153" t="n">
        <v>-1.98</v>
      </c>
      <c r="I65" s="159" t="n">
        <v>-1.98</v>
      </c>
      <c r="J65" s="154"/>
      <c r="K65" s="154"/>
      <c r="L65" s="153" t="n">
        <v>-1.98</v>
      </c>
      <c r="M65" s="159" t="n">
        <v>-1.98</v>
      </c>
      <c r="N65" s="154"/>
      <c r="O65" s="154"/>
      <c r="P65" s="154"/>
      <c r="Q65" s="154"/>
      <c r="W65" s="152" t="s">
        <v>70</v>
      </c>
      <c r="X65" s="154"/>
      <c r="Y65" s="154"/>
      <c r="Z65" s="154"/>
      <c r="AA65" s="154"/>
      <c r="AB65" s="154"/>
      <c r="AC65" s="154"/>
      <c r="AD65" s="156" t="n">
        <v>1</v>
      </c>
      <c r="AE65" s="158" t="n">
        <v>1</v>
      </c>
      <c r="AF65" s="154"/>
      <c r="AG65" s="154"/>
      <c r="AH65" s="156" t="n">
        <v>1</v>
      </c>
      <c r="AI65" s="158" t="n">
        <v>1</v>
      </c>
      <c r="AJ65" s="154"/>
      <c r="AK65" s="154"/>
      <c r="AL65" s="154"/>
      <c r="AM65" s="154"/>
    </row>
    <row r="69" customFormat="false" ht="15" hidden="false" customHeight="false" outlineLevel="0" collapsed="false">
      <c r="A69" s="148" t="s">
        <v>941</v>
      </c>
      <c r="B69" s="148"/>
      <c r="C69" s="148"/>
      <c r="D69" s="148"/>
      <c r="E69" s="148"/>
      <c r="F69" s="148"/>
      <c r="G69" s="148"/>
      <c r="H69" s="148"/>
      <c r="I69" s="148"/>
      <c r="J69" s="148"/>
      <c r="K69" s="148"/>
      <c r="L69" s="148"/>
      <c r="M69" s="148"/>
      <c r="N69" s="148"/>
      <c r="O69" s="148"/>
      <c r="P69" s="148"/>
      <c r="Q69" s="148"/>
      <c r="W69" s="148" t="s">
        <v>942</v>
      </c>
      <c r="X69" s="148"/>
      <c r="Y69" s="148"/>
      <c r="Z69" s="148"/>
      <c r="AA69" s="148"/>
      <c r="AB69" s="148"/>
      <c r="AC69" s="148"/>
      <c r="AD69" s="148"/>
      <c r="AE69" s="148"/>
      <c r="AF69" s="148"/>
      <c r="AG69" s="148"/>
      <c r="AH69" s="148"/>
      <c r="AI69" s="148"/>
      <c r="AJ69" s="148"/>
      <c r="AK69" s="148"/>
      <c r="AL69" s="148"/>
      <c r="AM69" s="148"/>
    </row>
    <row r="70" customFormat="false" ht="15" hidden="false" customHeight="false" outlineLevel="0" collapsed="false">
      <c r="A70" s="123"/>
      <c r="B70" s="149" t="s">
        <v>33</v>
      </c>
      <c r="C70" s="149" t="s">
        <v>96</v>
      </c>
      <c r="D70" s="149" t="s">
        <v>34</v>
      </c>
      <c r="E70" s="157" t="s">
        <v>914</v>
      </c>
      <c r="F70" s="149" t="s">
        <v>97</v>
      </c>
      <c r="G70" s="149" t="s">
        <v>98</v>
      </c>
      <c r="H70" s="149" t="s">
        <v>99</v>
      </c>
      <c r="I70" s="157" t="s">
        <v>914</v>
      </c>
      <c r="J70" s="149" t="s">
        <v>112</v>
      </c>
      <c r="K70" s="149" t="s">
        <v>115</v>
      </c>
      <c r="L70" s="149" t="s">
        <v>119</v>
      </c>
      <c r="M70" s="157" t="s">
        <v>914</v>
      </c>
      <c r="N70" s="149" t="s">
        <v>121</v>
      </c>
      <c r="O70" s="149" t="s">
        <v>123</v>
      </c>
      <c r="P70" s="149" t="s">
        <v>125</v>
      </c>
      <c r="Q70" s="157" t="s">
        <v>914</v>
      </c>
      <c r="W70" s="123"/>
      <c r="X70" s="149" t="s">
        <v>33</v>
      </c>
      <c r="Y70" s="149" t="s">
        <v>96</v>
      </c>
      <c r="Z70" s="149" t="s">
        <v>34</v>
      </c>
      <c r="AA70" s="157" t="s">
        <v>914</v>
      </c>
      <c r="AB70" s="149" t="s">
        <v>97</v>
      </c>
      <c r="AC70" s="149" t="s">
        <v>98</v>
      </c>
      <c r="AD70" s="149" t="s">
        <v>99</v>
      </c>
      <c r="AE70" s="157" t="s">
        <v>914</v>
      </c>
      <c r="AF70" s="149" t="s">
        <v>112</v>
      </c>
      <c r="AG70" s="149" t="s">
        <v>115</v>
      </c>
      <c r="AH70" s="149" t="s">
        <v>119</v>
      </c>
      <c r="AI70" s="157" t="s">
        <v>914</v>
      </c>
      <c r="AJ70" s="149" t="s">
        <v>121</v>
      </c>
      <c r="AK70" s="149" t="s">
        <v>123</v>
      </c>
      <c r="AL70" s="149" t="s">
        <v>125</v>
      </c>
      <c r="AM70" s="157" t="s">
        <v>914</v>
      </c>
    </row>
    <row r="71" customFormat="false" ht="15" hidden="false" customHeight="false" outlineLevel="0" collapsed="false">
      <c r="A71" s="152" t="s">
        <v>65</v>
      </c>
      <c r="B71" s="154"/>
      <c r="C71" s="154"/>
      <c r="D71" s="154"/>
      <c r="E71" s="154"/>
      <c r="F71" s="154"/>
      <c r="G71" s="154"/>
      <c r="H71" s="153" t="n">
        <v>1.98</v>
      </c>
      <c r="I71" s="159" t="n">
        <v>1.98</v>
      </c>
      <c r="J71" s="154"/>
      <c r="K71" s="154"/>
      <c r="L71" s="153" t="n">
        <v>1.98</v>
      </c>
      <c r="M71" s="159" t="n">
        <v>1.98</v>
      </c>
      <c r="N71" s="154"/>
      <c r="O71" s="154"/>
      <c r="P71" s="154"/>
      <c r="Q71" s="154"/>
      <c r="W71" s="152" t="s">
        <v>65</v>
      </c>
      <c r="X71" s="154"/>
      <c r="Y71" s="154"/>
      <c r="Z71" s="154"/>
      <c r="AA71" s="154"/>
      <c r="AB71" s="154"/>
      <c r="AC71" s="154"/>
      <c r="AD71" s="154"/>
      <c r="AE71" s="154"/>
      <c r="AF71" s="154"/>
      <c r="AG71" s="154"/>
      <c r="AH71" s="154"/>
      <c r="AI71" s="154"/>
      <c r="AJ71" s="154"/>
      <c r="AK71" s="154"/>
      <c r="AL71" s="154"/>
      <c r="AM71" s="154"/>
    </row>
    <row r="72" customFormat="false" ht="15" hidden="false" customHeight="false" outlineLevel="0" collapsed="false">
      <c r="A72" s="152" t="s">
        <v>71</v>
      </c>
      <c r="B72" s="154"/>
      <c r="C72" s="154"/>
      <c r="D72" s="154"/>
      <c r="E72" s="154"/>
      <c r="F72" s="153" t="n">
        <v>2.35</v>
      </c>
      <c r="G72" s="154"/>
      <c r="H72" s="154"/>
      <c r="I72" s="159" t="n">
        <v>2.35</v>
      </c>
      <c r="J72" s="153" t="n">
        <v>2.35</v>
      </c>
      <c r="K72" s="154"/>
      <c r="L72" s="154"/>
      <c r="M72" s="159" t="n">
        <v>2.35</v>
      </c>
      <c r="N72" s="154"/>
      <c r="O72" s="154"/>
      <c r="P72" s="154"/>
      <c r="Q72" s="154"/>
      <c r="W72" s="152" t="s">
        <v>71</v>
      </c>
      <c r="X72" s="154"/>
      <c r="Y72" s="154"/>
      <c r="Z72" s="154"/>
      <c r="AA72" s="154"/>
      <c r="AB72" s="154"/>
      <c r="AC72" s="154"/>
      <c r="AD72" s="154"/>
      <c r="AE72" s="154"/>
      <c r="AF72" s="154"/>
      <c r="AG72" s="154"/>
      <c r="AH72" s="154"/>
      <c r="AI72" s="154"/>
      <c r="AJ72" s="154"/>
      <c r="AK72" s="154"/>
      <c r="AL72" s="154"/>
      <c r="AM72" s="154"/>
    </row>
    <row r="73" customFormat="false" ht="15" hidden="false" customHeight="false" outlineLevel="0" collapsed="false">
      <c r="A73" s="152" t="s">
        <v>74</v>
      </c>
      <c r="B73" s="154"/>
      <c r="C73" s="154"/>
      <c r="D73" s="154"/>
      <c r="E73" s="154"/>
      <c r="F73" s="153" t="n">
        <v>2.35</v>
      </c>
      <c r="G73" s="154"/>
      <c r="H73" s="153" t="n">
        <v>1.98</v>
      </c>
      <c r="I73" s="159" t="n">
        <v>4.33</v>
      </c>
      <c r="J73" s="153" t="n">
        <v>2.35</v>
      </c>
      <c r="K73" s="154"/>
      <c r="L73" s="153" t="n">
        <v>1.98</v>
      </c>
      <c r="M73" s="159" t="n">
        <v>4.33</v>
      </c>
      <c r="N73" s="154"/>
      <c r="O73" s="154"/>
      <c r="P73" s="154"/>
      <c r="Q73" s="154"/>
      <c r="W73" s="152" t="s">
        <v>74</v>
      </c>
      <c r="X73" s="154"/>
      <c r="Y73" s="154"/>
      <c r="Z73" s="154"/>
      <c r="AA73" s="154"/>
      <c r="AB73" s="154"/>
      <c r="AC73" s="154"/>
      <c r="AD73" s="154"/>
      <c r="AE73" s="154"/>
      <c r="AF73" s="154"/>
      <c r="AG73" s="154"/>
      <c r="AH73" s="154"/>
      <c r="AI73" s="154"/>
      <c r="AJ73" s="154"/>
      <c r="AK73" s="154"/>
      <c r="AL73" s="154"/>
      <c r="AM73" s="154"/>
    </row>
    <row r="74" customFormat="false" ht="15" hidden="false" customHeight="false" outlineLevel="0" collapsed="false">
      <c r="A74" s="152" t="s">
        <v>75</v>
      </c>
      <c r="B74" s="154"/>
      <c r="C74" s="154"/>
      <c r="D74" s="154"/>
      <c r="E74" s="154"/>
      <c r="F74" s="154"/>
      <c r="G74" s="154"/>
      <c r="H74" s="153" t="n">
        <v>1.98</v>
      </c>
      <c r="I74" s="159" t="n">
        <v>1.98</v>
      </c>
      <c r="J74" s="154"/>
      <c r="K74" s="154"/>
      <c r="L74" s="153" t="n">
        <v>1.99</v>
      </c>
      <c r="M74" s="159" t="n">
        <v>1.99</v>
      </c>
      <c r="N74" s="154"/>
      <c r="O74" s="154"/>
      <c r="P74" s="154"/>
      <c r="Q74" s="154"/>
      <c r="W74" s="152" t="s">
        <v>75</v>
      </c>
      <c r="X74" s="154"/>
      <c r="Y74" s="154"/>
      <c r="Z74" s="154"/>
      <c r="AA74" s="154"/>
      <c r="AB74" s="154"/>
      <c r="AC74" s="154"/>
      <c r="AD74" s="154"/>
      <c r="AE74" s="154"/>
      <c r="AF74" s="154"/>
      <c r="AG74" s="154"/>
      <c r="AH74" s="154"/>
      <c r="AI74" s="154"/>
      <c r="AJ74" s="154"/>
      <c r="AK74" s="154"/>
      <c r="AL74" s="154"/>
      <c r="AM74" s="154"/>
    </row>
    <row r="75" customFormat="false" ht="15" hidden="false" customHeight="false" outlineLevel="0" collapsed="false">
      <c r="A75" s="152" t="s">
        <v>70</v>
      </c>
      <c r="B75" s="154"/>
      <c r="C75" s="154"/>
      <c r="D75" s="154"/>
      <c r="E75" s="154"/>
      <c r="F75" s="154"/>
      <c r="G75" s="154"/>
      <c r="H75" s="153" t="n">
        <v>1.98</v>
      </c>
      <c r="I75" s="159" t="n">
        <v>1.98</v>
      </c>
      <c r="J75" s="154"/>
      <c r="K75" s="154"/>
      <c r="L75" s="153" t="n">
        <v>1.98</v>
      </c>
      <c r="M75" s="159" t="n">
        <v>1.98</v>
      </c>
      <c r="N75" s="154"/>
      <c r="O75" s="154"/>
      <c r="P75" s="154"/>
      <c r="Q75" s="154"/>
      <c r="W75" s="152" t="s">
        <v>70</v>
      </c>
      <c r="X75" s="154"/>
      <c r="Y75" s="154"/>
      <c r="Z75" s="154"/>
      <c r="AA75" s="154"/>
      <c r="AB75" s="154"/>
      <c r="AC75" s="154"/>
      <c r="AD75" s="154"/>
      <c r="AE75" s="154"/>
      <c r="AF75" s="154"/>
      <c r="AG75" s="154"/>
      <c r="AH75" s="154"/>
      <c r="AI75" s="154"/>
      <c r="AJ75" s="154"/>
      <c r="AK75" s="154"/>
      <c r="AL75" s="154"/>
      <c r="AM75" s="154"/>
    </row>
    <row r="80" customFormat="false" ht="15" hidden="false" customHeight="false" outlineLevel="0" collapsed="false">
      <c r="A80" s="147" t="s">
        <v>943</v>
      </c>
      <c r="B80" s="147"/>
      <c r="C80" s="147"/>
      <c r="D80" s="147"/>
      <c r="E80" s="147"/>
      <c r="F80" s="147"/>
      <c r="G80" s="147"/>
      <c r="H80" s="147"/>
      <c r="I80" s="147"/>
      <c r="J80" s="147"/>
      <c r="K80" s="147"/>
      <c r="L80" s="147"/>
      <c r="M80" s="147"/>
      <c r="N80" s="147"/>
      <c r="O80" s="147"/>
      <c r="P80" s="147"/>
    </row>
    <row r="81" customFormat="false" ht="15" hidden="false" customHeight="false" outlineLevel="0" collapsed="false">
      <c r="A81" s="147"/>
      <c r="B81" s="147"/>
      <c r="C81" s="147"/>
      <c r="D81" s="147"/>
      <c r="E81" s="147"/>
      <c r="F81" s="147"/>
      <c r="G81" s="147"/>
      <c r="H81" s="147"/>
      <c r="I81" s="147"/>
      <c r="J81" s="147"/>
      <c r="K81" s="147"/>
      <c r="L81" s="147"/>
      <c r="M81" s="147"/>
      <c r="N81" s="147"/>
      <c r="O81" s="147"/>
      <c r="P81" s="147"/>
    </row>
    <row r="83" customFormat="false" ht="15" hidden="false" customHeight="false" outlineLevel="0" collapsed="false">
      <c r="A83" s="148" t="s">
        <v>944</v>
      </c>
      <c r="B83" s="148"/>
      <c r="C83" s="148"/>
      <c r="D83" s="148"/>
      <c r="E83" s="148"/>
      <c r="F83" s="148"/>
      <c r="G83" s="148"/>
      <c r="H83" s="148"/>
      <c r="I83" s="148"/>
      <c r="J83" s="148"/>
      <c r="K83" s="148"/>
      <c r="L83" s="148"/>
      <c r="M83" s="148"/>
      <c r="N83" s="148"/>
      <c r="O83" s="148"/>
      <c r="P83" s="148"/>
      <c r="Q83" s="148"/>
      <c r="W83" s="148" t="s">
        <v>945</v>
      </c>
      <c r="X83" s="148"/>
      <c r="Y83" s="148"/>
      <c r="Z83" s="148"/>
      <c r="AA83" s="148"/>
      <c r="AB83" s="148"/>
      <c r="AC83" s="148"/>
      <c r="AD83" s="148"/>
      <c r="AE83" s="148"/>
      <c r="AF83" s="148"/>
      <c r="AG83" s="148"/>
      <c r="AH83" s="148"/>
      <c r="AI83" s="148"/>
      <c r="AJ83" s="148"/>
      <c r="AK83" s="148"/>
      <c r="AL83" s="148"/>
      <c r="AM83" s="148"/>
    </row>
    <row r="84" customFormat="false" ht="15" hidden="false" customHeight="false" outlineLevel="0" collapsed="false">
      <c r="A84" s="123"/>
      <c r="B84" s="149" t="s">
        <v>33</v>
      </c>
      <c r="C84" s="149" t="s">
        <v>96</v>
      </c>
      <c r="D84" s="149" t="s">
        <v>34</v>
      </c>
      <c r="E84" s="157" t="s">
        <v>914</v>
      </c>
      <c r="F84" s="149" t="s">
        <v>97</v>
      </c>
      <c r="G84" s="149" t="s">
        <v>98</v>
      </c>
      <c r="H84" s="149" t="s">
        <v>99</v>
      </c>
      <c r="I84" s="157" t="s">
        <v>914</v>
      </c>
      <c r="J84" s="149" t="s">
        <v>112</v>
      </c>
      <c r="K84" s="149" t="s">
        <v>115</v>
      </c>
      <c r="L84" s="149" t="s">
        <v>119</v>
      </c>
      <c r="M84" s="157" t="s">
        <v>914</v>
      </c>
      <c r="N84" s="149" t="s">
        <v>121</v>
      </c>
      <c r="O84" s="149" t="s">
        <v>123</v>
      </c>
      <c r="P84" s="149" t="s">
        <v>125</v>
      </c>
      <c r="Q84" s="157" t="s">
        <v>914</v>
      </c>
      <c r="W84" s="123"/>
      <c r="X84" s="149" t="s">
        <v>33</v>
      </c>
      <c r="Y84" s="149" t="s">
        <v>96</v>
      </c>
      <c r="Z84" s="149" t="s">
        <v>34</v>
      </c>
      <c r="AA84" s="157" t="s">
        <v>914</v>
      </c>
      <c r="AB84" s="149" t="s">
        <v>97</v>
      </c>
      <c r="AC84" s="149" t="s">
        <v>98</v>
      </c>
      <c r="AD84" s="149" t="s">
        <v>99</v>
      </c>
      <c r="AE84" s="157" t="s">
        <v>914</v>
      </c>
      <c r="AF84" s="149" t="s">
        <v>112</v>
      </c>
      <c r="AG84" s="149" t="s">
        <v>115</v>
      </c>
      <c r="AH84" s="149" t="s">
        <v>119</v>
      </c>
      <c r="AI84" s="157" t="s">
        <v>914</v>
      </c>
      <c r="AJ84" s="149" t="s">
        <v>121</v>
      </c>
      <c r="AK84" s="149" t="s">
        <v>123</v>
      </c>
      <c r="AL84" s="149" t="s">
        <v>125</v>
      </c>
      <c r="AM84" s="157" t="s">
        <v>914</v>
      </c>
    </row>
    <row r="85" customFormat="false" ht="15" hidden="false" customHeight="false" outlineLevel="0" collapsed="false">
      <c r="A85" s="152" t="s">
        <v>65</v>
      </c>
      <c r="B85" s="154"/>
      <c r="C85" s="154"/>
      <c r="D85" s="153" t="n">
        <v>-1.98</v>
      </c>
      <c r="E85" s="159" t="n">
        <v>-1.98</v>
      </c>
      <c r="F85" s="154"/>
      <c r="G85" s="154"/>
      <c r="H85" s="154"/>
      <c r="I85" s="154"/>
      <c r="J85" s="154"/>
      <c r="K85" s="154"/>
      <c r="L85" s="154"/>
      <c r="M85" s="154"/>
      <c r="N85" s="154"/>
      <c r="O85" s="154"/>
      <c r="P85" s="153" t="n">
        <v>-1.98</v>
      </c>
      <c r="Q85" s="159" t="n">
        <v>-1.98</v>
      </c>
      <c r="W85" s="152" t="s">
        <v>65</v>
      </c>
      <c r="X85" s="154"/>
      <c r="Y85" s="154"/>
      <c r="Z85" s="156" t="n">
        <v>1</v>
      </c>
      <c r="AA85" s="158" t="n">
        <v>1</v>
      </c>
      <c r="AB85" s="154"/>
      <c r="AC85" s="154"/>
      <c r="AD85" s="154"/>
      <c r="AE85" s="154"/>
      <c r="AF85" s="154"/>
      <c r="AG85" s="154"/>
      <c r="AH85" s="154"/>
      <c r="AI85" s="154"/>
      <c r="AJ85" s="154"/>
      <c r="AK85" s="154"/>
      <c r="AL85" s="156" t="n">
        <v>1</v>
      </c>
      <c r="AM85" s="158" t="n">
        <v>1</v>
      </c>
    </row>
    <row r="86" customFormat="false" ht="15" hidden="false" customHeight="false" outlineLevel="0" collapsed="false">
      <c r="A86" s="152" t="s">
        <v>71</v>
      </c>
      <c r="B86" s="153" t="n">
        <v>2.35</v>
      </c>
      <c r="C86" s="154"/>
      <c r="D86" s="154"/>
      <c r="E86" s="159" t="n">
        <v>2.35</v>
      </c>
      <c r="F86" s="154"/>
      <c r="G86" s="154"/>
      <c r="H86" s="154"/>
      <c r="I86" s="154"/>
      <c r="J86" s="154"/>
      <c r="K86" s="154"/>
      <c r="L86" s="154"/>
      <c r="M86" s="154"/>
      <c r="N86" s="153" t="n">
        <v>2.35</v>
      </c>
      <c r="O86" s="154"/>
      <c r="P86" s="154"/>
      <c r="Q86" s="159" t="n">
        <v>2.35</v>
      </c>
      <c r="W86" s="152" t="s">
        <v>71</v>
      </c>
      <c r="X86" s="156" t="n">
        <v>1</v>
      </c>
      <c r="Y86" s="154"/>
      <c r="Z86" s="154"/>
      <c r="AA86" s="158" t="n">
        <v>1</v>
      </c>
      <c r="AB86" s="154"/>
      <c r="AC86" s="154"/>
      <c r="AD86" s="154"/>
      <c r="AE86" s="154"/>
      <c r="AF86" s="154"/>
      <c r="AG86" s="154"/>
      <c r="AH86" s="154"/>
      <c r="AI86" s="154"/>
      <c r="AJ86" s="156" t="n">
        <v>1</v>
      </c>
      <c r="AK86" s="154"/>
      <c r="AL86" s="154"/>
      <c r="AM86" s="158" t="n">
        <v>1</v>
      </c>
    </row>
    <row r="87" customFormat="false" ht="15" hidden="false" customHeight="false" outlineLevel="0" collapsed="false">
      <c r="A87" s="152" t="s">
        <v>74</v>
      </c>
      <c r="B87" s="153" t="n">
        <v>2.35</v>
      </c>
      <c r="C87" s="154"/>
      <c r="D87" s="153" t="n">
        <v>-1.98</v>
      </c>
      <c r="E87" s="159" t="n">
        <v>0.37</v>
      </c>
      <c r="F87" s="154"/>
      <c r="G87" s="154"/>
      <c r="H87" s="154"/>
      <c r="I87" s="154"/>
      <c r="J87" s="154"/>
      <c r="K87" s="154"/>
      <c r="L87" s="154"/>
      <c r="M87" s="154"/>
      <c r="N87" s="153" t="n">
        <v>2.35</v>
      </c>
      <c r="O87" s="154"/>
      <c r="P87" s="153" t="n">
        <v>-1.98</v>
      </c>
      <c r="Q87" s="159" t="n">
        <v>0.37</v>
      </c>
      <c r="W87" s="152" t="s">
        <v>74</v>
      </c>
      <c r="X87" s="156" t="n">
        <v>1</v>
      </c>
      <c r="Y87" s="154"/>
      <c r="Z87" s="156" t="n">
        <v>1</v>
      </c>
      <c r="AA87" s="158" t="n">
        <v>2</v>
      </c>
      <c r="AB87" s="154"/>
      <c r="AC87" s="154"/>
      <c r="AD87" s="154"/>
      <c r="AE87" s="154"/>
      <c r="AF87" s="154"/>
      <c r="AG87" s="154"/>
      <c r="AH87" s="154"/>
      <c r="AI87" s="154"/>
      <c r="AJ87" s="156" t="n">
        <v>1</v>
      </c>
      <c r="AK87" s="154"/>
      <c r="AL87" s="156" t="n">
        <v>1</v>
      </c>
      <c r="AM87" s="158" t="n">
        <v>2</v>
      </c>
    </row>
    <row r="88" customFormat="false" ht="15" hidden="false" customHeight="false" outlineLevel="0" collapsed="false">
      <c r="A88" s="152" t="s">
        <v>75</v>
      </c>
      <c r="B88" s="154"/>
      <c r="C88" s="154"/>
      <c r="D88" s="153" t="n">
        <v>-1.98</v>
      </c>
      <c r="E88" s="159" t="n">
        <v>-1.98</v>
      </c>
      <c r="F88" s="154"/>
      <c r="G88" s="154"/>
      <c r="H88" s="154"/>
      <c r="I88" s="154"/>
      <c r="J88" s="154"/>
      <c r="K88" s="154"/>
      <c r="L88" s="154"/>
      <c r="M88" s="154"/>
      <c r="N88" s="154"/>
      <c r="O88" s="154"/>
      <c r="P88" s="153" t="n">
        <v>-1.99</v>
      </c>
      <c r="Q88" s="159" t="n">
        <v>-1.99</v>
      </c>
      <c r="W88" s="152" t="s">
        <v>75</v>
      </c>
      <c r="X88" s="154"/>
      <c r="Y88" s="154"/>
      <c r="Z88" s="156" t="n">
        <v>1</v>
      </c>
      <c r="AA88" s="158" t="n">
        <v>1</v>
      </c>
      <c r="AB88" s="154"/>
      <c r="AC88" s="154"/>
      <c r="AD88" s="154"/>
      <c r="AE88" s="154"/>
      <c r="AF88" s="154"/>
      <c r="AG88" s="154"/>
      <c r="AH88" s="154"/>
      <c r="AI88" s="154"/>
      <c r="AJ88" s="154"/>
      <c r="AK88" s="154"/>
      <c r="AL88" s="156" t="n">
        <v>1</v>
      </c>
      <c r="AM88" s="158" t="n">
        <v>1</v>
      </c>
    </row>
    <row r="89" customFormat="false" ht="15" hidden="false" customHeight="false" outlineLevel="0" collapsed="false">
      <c r="A89" s="152" t="s">
        <v>70</v>
      </c>
      <c r="B89" s="154"/>
      <c r="C89" s="154"/>
      <c r="D89" s="153" t="n">
        <v>-1.98</v>
      </c>
      <c r="E89" s="159" t="n">
        <v>-1.98</v>
      </c>
      <c r="F89" s="154"/>
      <c r="G89" s="154"/>
      <c r="H89" s="154"/>
      <c r="I89" s="154"/>
      <c r="J89" s="154"/>
      <c r="K89" s="154"/>
      <c r="L89" s="154"/>
      <c r="M89" s="154"/>
      <c r="N89" s="154"/>
      <c r="O89" s="154"/>
      <c r="P89" s="153" t="n">
        <v>-1.98</v>
      </c>
      <c r="Q89" s="159" t="n">
        <v>-1.98</v>
      </c>
      <c r="W89" s="152" t="s">
        <v>70</v>
      </c>
      <c r="X89" s="154"/>
      <c r="Y89" s="154"/>
      <c r="Z89" s="156" t="n">
        <v>1</v>
      </c>
      <c r="AA89" s="158" t="n">
        <v>1</v>
      </c>
      <c r="AB89" s="154"/>
      <c r="AC89" s="154"/>
      <c r="AD89" s="154"/>
      <c r="AE89" s="154"/>
      <c r="AF89" s="154"/>
      <c r="AG89" s="154"/>
      <c r="AH89" s="154"/>
      <c r="AI89" s="154"/>
      <c r="AJ89" s="154"/>
      <c r="AK89" s="154"/>
      <c r="AL89" s="156" t="n">
        <v>1</v>
      </c>
      <c r="AM89" s="158" t="n">
        <v>1</v>
      </c>
    </row>
    <row r="93" customFormat="false" ht="15" hidden="false" customHeight="false" outlineLevel="0" collapsed="false">
      <c r="A93" s="148" t="s">
        <v>946</v>
      </c>
      <c r="B93" s="148"/>
      <c r="C93" s="148"/>
      <c r="D93" s="148"/>
      <c r="E93" s="148"/>
      <c r="F93" s="148"/>
      <c r="G93" s="148"/>
      <c r="H93" s="148"/>
      <c r="I93" s="148"/>
      <c r="J93" s="148"/>
      <c r="K93" s="148"/>
      <c r="L93" s="148"/>
      <c r="M93" s="148"/>
      <c r="N93" s="148"/>
      <c r="O93" s="148"/>
      <c r="P93" s="148"/>
      <c r="Q93" s="148"/>
      <c r="W93" s="148" t="s">
        <v>947</v>
      </c>
      <c r="X93" s="148"/>
      <c r="Y93" s="148"/>
      <c r="Z93" s="148"/>
      <c r="AA93" s="148"/>
      <c r="AB93" s="148"/>
      <c r="AC93" s="148"/>
      <c r="AD93" s="148"/>
      <c r="AE93" s="148"/>
      <c r="AF93" s="148"/>
      <c r="AG93" s="148"/>
      <c r="AH93" s="148"/>
      <c r="AI93" s="148"/>
      <c r="AJ93" s="148"/>
      <c r="AK93" s="148"/>
      <c r="AL93" s="148"/>
      <c r="AM93" s="148"/>
    </row>
    <row r="94" customFormat="false" ht="15" hidden="false" customHeight="false" outlineLevel="0" collapsed="false">
      <c r="A94" s="123"/>
      <c r="B94" s="149" t="s">
        <v>33</v>
      </c>
      <c r="C94" s="149" t="s">
        <v>96</v>
      </c>
      <c r="D94" s="149" t="s">
        <v>34</v>
      </c>
      <c r="E94" s="157" t="s">
        <v>914</v>
      </c>
      <c r="F94" s="149" t="s">
        <v>97</v>
      </c>
      <c r="G94" s="149" t="s">
        <v>98</v>
      </c>
      <c r="H94" s="149" t="s">
        <v>99</v>
      </c>
      <c r="I94" s="157" t="s">
        <v>914</v>
      </c>
      <c r="J94" s="149" t="s">
        <v>112</v>
      </c>
      <c r="K94" s="149" t="s">
        <v>115</v>
      </c>
      <c r="L94" s="149" t="s">
        <v>119</v>
      </c>
      <c r="M94" s="157" t="s">
        <v>914</v>
      </c>
      <c r="N94" s="149" t="s">
        <v>121</v>
      </c>
      <c r="O94" s="149" t="s">
        <v>123</v>
      </c>
      <c r="P94" s="149" t="s">
        <v>125</v>
      </c>
      <c r="Q94" s="157" t="s">
        <v>914</v>
      </c>
      <c r="W94" s="123"/>
      <c r="X94" s="149" t="s">
        <v>33</v>
      </c>
      <c r="Y94" s="149" t="s">
        <v>96</v>
      </c>
      <c r="Z94" s="149" t="s">
        <v>34</v>
      </c>
      <c r="AA94" s="157" t="s">
        <v>914</v>
      </c>
      <c r="AB94" s="149" t="s">
        <v>97</v>
      </c>
      <c r="AC94" s="149" t="s">
        <v>98</v>
      </c>
      <c r="AD94" s="149" t="s">
        <v>99</v>
      </c>
      <c r="AE94" s="157" t="s">
        <v>914</v>
      </c>
      <c r="AF94" s="149" t="s">
        <v>112</v>
      </c>
      <c r="AG94" s="149" t="s">
        <v>115</v>
      </c>
      <c r="AH94" s="149" t="s">
        <v>119</v>
      </c>
      <c r="AI94" s="157" t="s">
        <v>914</v>
      </c>
      <c r="AJ94" s="149" t="s">
        <v>121</v>
      </c>
      <c r="AK94" s="149" t="s">
        <v>123</v>
      </c>
      <c r="AL94" s="149" t="s">
        <v>125</v>
      </c>
      <c r="AM94" s="157" t="s">
        <v>914</v>
      </c>
    </row>
    <row r="95" customFormat="false" ht="15" hidden="false" customHeight="false" outlineLevel="0" collapsed="false">
      <c r="A95" s="152" t="s">
        <v>65</v>
      </c>
      <c r="B95" s="154"/>
      <c r="C95" s="154"/>
      <c r="D95" s="153" t="n">
        <v>1.98</v>
      </c>
      <c r="E95" s="159" t="n">
        <v>1.98</v>
      </c>
      <c r="F95" s="154"/>
      <c r="G95" s="154"/>
      <c r="H95" s="154"/>
      <c r="I95" s="154"/>
      <c r="J95" s="154"/>
      <c r="K95" s="154"/>
      <c r="L95" s="154"/>
      <c r="M95" s="154"/>
      <c r="N95" s="154"/>
      <c r="O95" s="154"/>
      <c r="P95" s="153" t="n">
        <v>1.98</v>
      </c>
      <c r="Q95" s="159" t="n">
        <v>1.98</v>
      </c>
      <c r="W95" s="152" t="s">
        <v>65</v>
      </c>
      <c r="X95" s="154"/>
      <c r="Y95" s="154"/>
      <c r="Z95" s="154"/>
      <c r="AA95" s="154"/>
      <c r="AB95" s="154"/>
      <c r="AC95" s="154"/>
      <c r="AD95" s="154"/>
      <c r="AE95" s="154"/>
      <c r="AF95" s="154"/>
      <c r="AG95" s="154"/>
      <c r="AH95" s="154"/>
      <c r="AI95" s="154"/>
      <c r="AJ95" s="154"/>
      <c r="AK95" s="154"/>
      <c r="AL95" s="154"/>
      <c r="AM95" s="154"/>
    </row>
    <row r="96" customFormat="false" ht="15" hidden="false" customHeight="false" outlineLevel="0" collapsed="false">
      <c r="A96" s="152" t="s">
        <v>71</v>
      </c>
      <c r="B96" s="153" t="n">
        <v>2.35</v>
      </c>
      <c r="C96" s="154"/>
      <c r="D96" s="154"/>
      <c r="E96" s="159" t="n">
        <v>2.35</v>
      </c>
      <c r="F96" s="154"/>
      <c r="G96" s="154"/>
      <c r="H96" s="154"/>
      <c r="I96" s="154"/>
      <c r="J96" s="154"/>
      <c r="K96" s="154"/>
      <c r="L96" s="154"/>
      <c r="M96" s="154"/>
      <c r="N96" s="153" t="n">
        <v>2.35</v>
      </c>
      <c r="O96" s="154"/>
      <c r="P96" s="154"/>
      <c r="Q96" s="159" t="n">
        <v>2.35</v>
      </c>
      <c r="W96" s="152" t="s">
        <v>71</v>
      </c>
      <c r="X96" s="154"/>
      <c r="Y96" s="154"/>
      <c r="Z96" s="154"/>
      <c r="AA96" s="154"/>
      <c r="AB96" s="154"/>
      <c r="AC96" s="154"/>
      <c r="AD96" s="154"/>
      <c r="AE96" s="154"/>
      <c r="AF96" s="154"/>
      <c r="AG96" s="154"/>
      <c r="AH96" s="154"/>
      <c r="AI96" s="154"/>
      <c r="AJ96" s="154"/>
      <c r="AK96" s="154"/>
      <c r="AL96" s="154"/>
      <c r="AM96" s="154"/>
    </row>
    <row r="97" customFormat="false" ht="15" hidden="false" customHeight="false" outlineLevel="0" collapsed="false">
      <c r="A97" s="152" t="s">
        <v>74</v>
      </c>
      <c r="B97" s="153" t="n">
        <v>2.35</v>
      </c>
      <c r="C97" s="154"/>
      <c r="D97" s="153" t="n">
        <v>1.98</v>
      </c>
      <c r="E97" s="159" t="n">
        <v>4.33</v>
      </c>
      <c r="F97" s="154"/>
      <c r="G97" s="154"/>
      <c r="H97" s="154"/>
      <c r="I97" s="154"/>
      <c r="J97" s="154"/>
      <c r="K97" s="154"/>
      <c r="L97" s="154"/>
      <c r="M97" s="154"/>
      <c r="N97" s="153" t="n">
        <v>2.35</v>
      </c>
      <c r="O97" s="154"/>
      <c r="P97" s="153" t="n">
        <v>1.98</v>
      </c>
      <c r="Q97" s="159" t="n">
        <v>4.33</v>
      </c>
      <c r="W97" s="152" t="s">
        <v>74</v>
      </c>
      <c r="X97" s="154"/>
      <c r="Y97" s="154"/>
      <c r="Z97" s="154"/>
      <c r="AA97" s="154"/>
      <c r="AB97" s="154"/>
      <c r="AC97" s="154"/>
      <c r="AD97" s="154"/>
      <c r="AE97" s="154"/>
      <c r="AF97" s="154"/>
      <c r="AG97" s="154"/>
      <c r="AH97" s="154"/>
      <c r="AI97" s="154"/>
      <c r="AJ97" s="154"/>
      <c r="AK97" s="154"/>
      <c r="AL97" s="154"/>
      <c r="AM97" s="154"/>
    </row>
    <row r="98" customFormat="false" ht="15" hidden="false" customHeight="false" outlineLevel="0" collapsed="false">
      <c r="A98" s="152" t="s">
        <v>75</v>
      </c>
      <c r="B98" s="154"/>
      <c r="C98" s="154"/>
      <c r="D98" s="153" t="n">
        <v>1.98</v>
      </c>
      <c r="E98" s="159" t="n">
        <v>1.98</v>
      </c>
      <c r="F98" s="154"/>
      <c r="G98" s="154"/>
      <c r="H98" s="154"/>
      <c r="I98" s="154"/>
      <c r="J98" s="154"/>
      <c r="K98" s="154"/>
      <c r="L98" s="154"/>
      <c r="M98" s="154"/>
      <c r="N98" s="154"/>
      <c r="O98" s="154"/>
      <c r="P98" s="153" t="n">
        <v>1.99</v>
      </c>
      <c r="Q98" s="159" t="n">
        <v>1.99</v>
      </c>
      <c r="W98" s="152" t="s">
        <v>75</v>
      </c>
      <c r="X98" s="154"/>
      <c r="Y98" s="154"/>
      <c r="Z98" s="154"/>
      <c r="AA98" s="154"/>
      <c r="AB98" s="154"/>
      <c r="AC98" s="154"/>
      <c r="AD98" s="154"/>
      <c r="AE98" s="154"/>
      <c r="AF98" s="154"/>
      <c r="AG98" s="154"/>
      <c r="AH98" s="154"/>
      <c r="AI98" s="154"/>
      <c r="AJ98" s="154"/>
      <c r="AK98" s="154"/>
      <c r="AL98" s="154"/>
      <c r="AM98" s="154"/>
    </row>
    <row r="99" customFormat="false" ht="15" hidden="false" customHeight="false" outlineLevel="0" collapsed="false">
      <c r="A99" s="152" t="s">
        <v>70</v>
      </c>
      <c r="B99" s="154"/>
      <c r="C99" s="154"/>
      <c r="D99" s="153" t="n">
        <v>1.98</v>
      </c>
      <c r="E99" s="159" t="n">
        <v>1.98</v>
      </c>
      <c r="F99" s="154"/>
      <c r="G99" s="154"/>
      <c r="H99" s="154"/>
      <c r="I99" s="154"/>
      <c r="J99" s="154"/>
      <c r="K99" s="154"/>
      <c r="L99" s="154"/>
      <c r="M99" s="154"/>
      <c r="N99" s="154"/>
      <c r="O99" s="154"/>
      <c r="P99" s="153" t="n">
        <v>1.98</v>
      </c>
      <c r="Q99" s="159" t="n">
        <v>1.98</v>
      </c>
      <c r="W99" s="152" t="s">
        <v>70</v>
      </c>
      <c r="X99" s="154"/>
      <c r="Y99" s="154"/>
      <c r="Z99" s="154"/>
      <c r="AA99" s="154"/>
      <c r="AB99" s="154"/>
      <c r="AC99" s="154"/>
      <c r="AD99" s="154"/>
      <c r="AE99" s="154"/>
      <c r="AF99" s="154"/>
      <c r="AG99" s="154"/>
      <c r="AH99" s="154"/>
      <c r="AI99" s="154"/>
      <c r="AJ99" s="154"/>
      <c r="AK99" s="154"/>
      <c r="AL99" s="154"/>
      <c r="AM99" s="154"/>
    </row>
    <row r="104" customFormat="false" ht="15" hidden="false" customHeight="false" outlineLevel="0" collapsed="false">
      <c r="A104" s="147" t="s">
        <v>948</v>
      </c>
      <c r="B104" s="147"/>
      <c r="C104" s="147"/>
      <c r="D104" s="147"/>
      <c r="E104" s="147"/>
      <c r="F104" s="147"/>
      <c r="G104" s="147"/>
      <c r="H104" s="147"/>
      <c r="I104" s="147"/>
      <c r="J104" s="147"/>
      <c r="K104" s="147"/>
      <c r="L104" s="147"/>
      <c r="M104" s="147"/>
      <c r="N104" s="147"/>
      <c r="O104" s="147"/>
      <c r="P104" s="147"/>
    </row>
    <row r="105" customFormat="false" ht="15" hidden="false" customHeight="false" outlineLevel="0" collapsed="false">
      <c r="A105" s="147"/>
      <c r="B105" s="147"/>
      <c r="C105" s="147"/>
      <c r="D105" s="147"/>
      <c r="E105" s="147"/>
      <c r="F105" s="147"/>
      <c r="G105" s="147"/>
      <c r="H105" s="147"/>
      <c r="I105" s="147"/>
      <c r="J105" s="147"/>
      <c r="K105" s="147"/>
      <c r="L105" s="147"/>
      <c r="M105" s="147"/>
      <c r="N105" s="147"/>
      <c r="O105" s="147"/>
      <c r="P105" s="147"/>
    </row>
    <row r="107" customFormat="false" ht="15" hidden="false" customHeight="false" outlineLevel="0" collapsed="false">
      <c r="A107" s="148" t="s">
        <v>949</v>
      </c>
      <c r="B107" s="148"/>
      <c r="C107" s="148"/>
      <c r="D107" s="148"/>
      <c r="E107" s="148"/>
      <c r="F107" s="148"/>
      <c r="G107" s="148"/>
      <c r="H107" s="148"/>
      <c r="I107" s="148"/>
      <c r="J107" s="148"/>
      <c r="K107" s="148"/>
      <c r="L107" s="148"/>
      <c r="M107" s="148"/>
      <c r="N107" s="148"/>
      <c r="O107" s="148"/>
      <c r="P107" s="148"/>
      <c r="Q107" s="148"/>
      <c r="W107" s="148" t="s">
        <v>950</v>
      </c>
      <c r="X107" s="148"/>
      <c r="Y107" s="148"/>
      <c r="Z107" s="148"/>
      <c r="AA107" s="148"/>
      <c r="AB107" s="148"/>
      <c r="AC107" s="148"/>
      <c r="AD107" s="148"/>
      <c r="AE107" s="148"/>
      <c r="AF107" s="148"/>
      <c r="AG107" s="148"/>
      <c r="AH107" s="148"/>
      <c r="AI107" s="148"/>
      <c r="AJ107" s="148"/>
      <c r="AK107" s="148"/>
      <c r="AL107" s="148"/>
      <c r="AM107" s="148"/>
    </row>
    <row r="108" customFormat="false" ht="15" hidden="false" customHeight="false" outlineLevel="0" collapsed="false">
      <c r="A108" s="123"/>
      <c r="B108" s="149" t="s">
        <v>33</v>
      </c>
      <c r="C108" s="149" t="s">
        <v>96</v>
      </c>
      <c r="D108" s="149" t="s">
        <v>34</v>
      </c>
      <c r="E108" s="157" t="s">
        <v>914</v>
      </c>
      <c r="F108" s="149" t="s">
        <v>97</v>
      </c>
      <c r="G108" s="149" t="s">
        <v>98</v>
      </c>
      <c r="H108" s="149" t="s">
        <v>99</v>
      </c>
      <c r="I108" s="157" t="s">
        <v>914</v>
      </c>
      <c r="J108" s="149" t="s">
        <v>112</v>
      </c>
      <c r="K108" s="149" t="s">
        <v>115</v>
      </c>
      <c r="L108" s="149" t="s">
        <v>119</v>
      </c>
      <c r="M108" s="157" t="s">
        <v>914</v>
      </c>
      <c r="N108" s="149" t="s">
        <v>121</v>
      </c>
      <c r="O108" s="149" t="s">
        <v>123</v>
      </c>
      <c r="P108" s="149" t="s">
        <v>125</v>
      </c>
      <c r="Q108" s="157" t="s">
        <v>914</v>
      </c>
      <c r="W108" s="123"/>
      <c r="X108" s="149" t="s">
        <v>33</v>
      </c>
      <c r="Y108" s="149" t="s">
        <v>96</v>
      </c>
      <c r="Z108" s="149" t="s">
        <v>34</v>
      </c>
      <c r="AA108" s="157" t="s">
        <v>914</v>
      </c>
      <c r="AB108" s="149" t="s">
        <v>97</v>
      </c>
      <c r="AC108" s="149" t="s">
        <v>98</v>
      </c>
      <c r="AD108" s="149" t="s">
        <v>99</v>
      </c>
      <c r="AE108" s="157" t="s">
        <v>914</v>
      </c>
      <c r="AF108" s="149" t="s">
        <v>112</v>
      </c>
      <c r="AG108" s="149" t="s">
        <v>115</v>
      </c>
      <c r="AH108" s="149" t="s">
        <v>119</v>
      </c>
      <c r="AI108" s="157" t="s">
        <v>914</v>
      </c>
      <c r="AJ108" s="149" t="s">
        <v>121</v>
      </c>
      <c r="AK108" s="149" t="s">
        <v>123</v>
      </c>
      <c r="AL108" s="149" t="s">
        <v>125</v>
      </c>
      <c r="AM108" s="157" t="s">
        <v>914</v>
      </c>
    </row>
    <row r="109" customFormat="false" ht="15" hidden="false" customHeight="false" outlineLevel="0" collapsed="false">
      <c r="A109" s="152" t="s">
        <v>65</v>
      </c>
      <c r="B109" s="154"/>
      <c r="C109" s="154"/>
      <c r="D109" s="154"/>
      <c r="E109" s="154"/>
      <c r="F109" s="154"/>
      <c r="G109" s="154"/>
      <c r="H109" s="153" t="n">
        <v>-1.98</v>
      </c>
      <c r="I109" s="159" t="n">
        <v>-1.98</v>
      </c>
      <c r="J109" s="154"/>
      <c r="K109" s="154"/>
      <c r="L109" s="154"/>
      <c r="M109" s="154"/>
      <c r="N109" s="154"/>
      <c r="O109" s="154"/>
      <c r="P109" s="153" t="n">
        <v>-1.98</v>
      </c>
      <c r="Q109" s="159" t="n">
        <v>-1.98</v>
      </c>
      <c r="W109" s="152" t="s">
        <v>65</v>
      </c>
      <c r="X109" s="154"/>
      <c r="Y109" s="154"/>
      <c r="Z109" s="154"/>
      <c r="AA109" s="154"/>
      <c r="AB109" s="154"/>
      <c r="AC109" s="154"/>
      <c r="AD109" s="156" t="n">
        <v>1</v>
      </c>
      <c r="AE109" s="158" t="n">
        <v>1</v>
      </c>
      <c r="AF109" s="154"/>
      <c r="AG109" s="154"/>
      <c r="AH109" s="154"/>
      <c r="AI109" s="154"/>
      <c r="AJ109" s="154"/>
      <c r="AK109" s="154"/>
      <c r="AL109" s="156" t="n">
        <v>1</v>
      </c>
      <c r="AM109" s="158" t="n">
        <v>1</v>
      </c>
    </row>
    <row r="110" customFormat="false" ht="15" hidden="false" customHeight="false" outlineLevel="0" collapsed="false">
      <c r="A110" s="152" t="s">
        <v>71</v>
      </c>
      <c r="B110" s="154"/>
      <c r="C110" s="154"/>
      <c r="D110" s="154"/>
      <c r="E110" s="154"/>
      <c r="F110" s="153" t="n">
        <v>2.35</v>
      </c>
      <c r="G110" s="154"/>
      <c r="H110" s="154"/>
      <c r="I110" s="159" t="n">
        <v>2.35</v>
      </c>
      <c r="J110" s="154"/>
      <c r="K110" s="154"/>
      <c r="L110" s="154"/>
      <c r="M110" s="154"/>
      <c r="N110" s="153" t="n">
        <v>2.35</v>
      </c>
      <c r="O110" s="154"/>
      <c r="P110" s="154"/>
      <c r="Q110" s="159" t="n">
        <v>2.35</v>
      </c>
      <c r="W110" s="152" t="s">
        <v>71</v>
      </c>
      <c r="X110" s="154"/>
      <c r="Y110" s="154"/>
      <c r="Z110" s="154"/>
      <c r="AA110" s="154"/>
      <c r="AB110" s="156" t="n">
        <v>1</v>
      </c>
      <c r="AC110" s="154"/>
      <c r="AD110" s="154"/>
      <c r="AE110" s="158" t="n">
        <v>1</v>
      </c>
      <c r="AF110" s="154"/>
      <c r="AG110" s="154"/>
      <c r="AH110" s="154"/>
      <c r="AI110" s="154"/>
      <c r="AJ110" s="156" t="n">
        <v>1</v>
      </c>
      <c r="AK110" s="154"/>
      <c r="AL110" s="154"/>
      <c r="AM110" s="158" t="n">
        <v>1</v>
      </c>
    </row>
    <row r="111" customFormat="false" ht="15" hidden="false" customHeight="false" outlineLevel="0" collapsed="false">
      <c r="A111" s="152" t="s">
        <v>74</v>
      </c>
      <c r="B111" s="154"/>
      <c r="C111" s="154"/>
      <c r="D111" s="154"/>
      <c r="E111" s="154"/>
      <c r="F111" s="153" t="n">
        <v>2.35</v>
      </c>
      <c r="G111" s="154"/>
      <c r="H111" s="153" t="n">
        <v>-1.98</v>
      </c>
      <c r="I111" s="159" t="n">
        <v>0.37</v>
      </c>
      <c r="J111" s="154"/>
      <c r="K111" s="154"/>
      <c r="L111" s="154"/>
      <c r="M111" s="154"/>
      <c r="N111" s="153" t="n">
        <v>2.35</v>
      </c>
      <c r="O111" s="154"/>
      <c r="P111" s="153" t="n">
        <v>-1.98</v>
      </c>
      <c r="Q111" s="159" t="n">
        <v>0.37</v>
      </c>
      <c r="W111" s="152" t="s">
        <v>74</v>
      </c>
      <c r="X111" s="154"/>
      <c r="Y111" s="154"/>
      <c r="Z111" s="154"/>
      <c r="AA111" s="154"/>
      <c r="AB111" s="156" t="n">
        <v>1</v>
      </c>
      <c r="AC111" s="154"/>
      <c r="AD111" s="156" t="n">
        <v>1</v>
      </c>
      <c r="AE111" s="158" t="n">
        <v>2</v>
      </c>
      <c r="AF111" s="154"/>
      <c r="AG111" s="154"/>
      <c r="AH111" s="154"/>
      <c r="AI111" s="154"/>
      <c r="AJ111" s="156" t="n">
        <v>1</v>
      </c>
      <c r="AK111" s="154"/>
      <c r="AL111" s="156" t="n">
        <v>1</v>
      </c>
      <c r="AM111" s="158" t="n">
        <v>2</v>
      </c>
    </row>
    <row r="112" customFormat="false" ht="15" hidden="false" customHeight="false" outlineLevel="0" collapsed="false">
      <c r="A112" s="152" t="s">
        <v>75</v>
      </c>
      <c r="B112" s="154"/>
      <c r="C112" s="154"/>
      <c r="D112" s="154"/>
      <c r="E112" s="154"/>
      <c r="F112" s="154"/>
      <c r="G112" s="154"/>
      <c r="H112" s="153" t="n">
        <v>-1.98</v>
      </c>
      <c r="I112" s="159" t="n">
        <v>-1.98</v>
      </c>
      <c r="J112" s="154"/>
      <c r="K112" s="154"/>
      <c r="L112" s="154"/>
      <c r="M112" s="154"/>
      <c r="N112" s="154"/>
      <c r="O112" s="154"/>
      <c r="P112" s="153" t="n">
        <v>-1.99</v>
      </c>
      <c r="Q112" s="159" t="n">
        <v>-1.99</v>
      </c>
      <c r="W112" s="152" t="s">
        <v>75</v>
      </c>
      <c r="X112" s="154"/>
      <c r="Y112" s="154"/>
      <c r="Z112" s="154"/>
      <c r="AA112" s="154"/>
      <c r="AB112" s="154"/>
      <c r="AC112" s="154"/>
      <c r="AD112" s="156" t="n">
        <v>1</v>
      </c>
      <c r="AE112" s="158" t="n">
        <v>1</v>
      </c>
      <c r="AF112" s="154"/>
      <c r="AG112" s="154"/>
      <c r="AH112" s="154"/>
      <c r="AI112" s="154"/>
      <c r="AJ112" s="154"/>
      <c r="AK112" s="154"/>
      <c r="AL112" s="156" t="n">
        <v>1</v>
      </c>
      <c r="AM112" s="158" t="n">
        <v>1</v>
      </c>
    </row>
    <row r="113" customFormat="false" ht="15" hidden="false" customHeight="false" outlineLevel="0" collapsed="false">
      <c r="A113" s="152" t="s">
        <v>70</v>
      </c>
      <c r="B113" s="154"/>
      <c r="C113" s="154"/>
      <c r="D113" s="154"/>
      <c r="E113" s="154"/>
      <c r="F113" s="154"/>
      <c r="G113" s="154"/>
      <c r="H113" s="153" t="n">
        <v>-1.98</v>
      </c>
      <c r="I113" s="159" t="n">
        <v>-1.98</v>
      </c>
      <c r="J113" s="154"/>
      <c r="K113" s="154"/>
      <c r="L113" s="154"/>
      <c r="M113" s="154"/>
      <c r="N113" s="154"/>
      <c r="O113" s="154"/>
      <c r="P113" s="153" t="n">
        <v>-1.98</v>
      </c>
      <c r="Q113" s="159" t="n">
        <v>-1.98</v>
      </c>
      <c r="W113" s="152" t="s">
        <v>70</v>
      </c>
      <c r="X113" s="154"/>
      <c r="Y113" s="154"/>
      <c r="Z113" s="154"/>
      <c r="AA113" s="154"/>
      <c r="AB113" s="154"/>
      <c r="AC113" s="154"/>
      <c r="AD113" s="156" t="n">
        <v>1</v>
      </c>
      <c r="AE113" s="158" t="n">
        <v>1</v>
      </c>
      <c r="AF113" s="154"/>
      <c r="AG113" s="154"/>
      <c r="AH113" s="154"/>
      <c r="AI113" s="154"/>
      <c r="AJ113" s="154"/>
      <c r="AK113" s="154"/>
      <c r="AL113" s="156" t="n">
        <v>1</v>
      </c>
      <c r="AM113" s="158" t="n">
        <v>1</v>
      </c>
    </row>
    <row r="117" customFormat="false" ht="15" hidden="false" customHeight="false" outlineLevel="0" collapsed="false">
      <c r="A117" s="148" t="s">
        <v>951</v>
      </c>
      <c r="B117" s="148"/>
      <c r="C117" s="148"/>
      <c r="D117" s="148"/>
      <c r="E117" s="148"/>
      <c r="F117" s="148"/>
      <c r="G117" s="148"/>
      <c r="H117" s="148"/>
      <c r="I117" s="148"/>
      <c r="J117" s="148"/>
      <c r="K117" s="148"/>
      <c r="L117" s="148"/>
      <c r="M117" s="148"/>
      <c r="N117" s="148"/>
      <c r="O117" s="148"/>
      <c r="P117" s="148"/>
      <c r="Q117" s="148"/>
      <c r="W117" s="148" t="s">
        <v>952</v>
      </c>
      <c r="X117" s="148"/>
      <c r="Y117" s="148"/>
      <c r="Z117" s="148"/>
      <c r="AA117" s="148"/>
      <c r="AB117" s="148"/>
      <c r="AC117" s="148"/>
      <c r="AD117" s="148"/>
      <c r="AE117" s="148"/>
      <c r="AF117" s="148"/>
      <c r="AG117" s="148"/>
      <c r="AH117" s="148"/>
      <c r="AI117" s="148"/>
      <c r="AJ117" s="148"/>
      <c r="AK117" s="148"/>
      <c r="AL117" s="148"/>
      <c r="AM117" s="148"/>
    </row>
    <row r="118" customFormat="false" ht="15" hidden="false" customHeight="false" outlineLevel="0" collapsed="false">
      <c r="A118" s="123"/>
      <c r="B118" s="149" t="s">
        <v>33</v>
      </c>
      <c r="C118" s="149" t="s">
        <v>96</v>
      </c>
      <c r="D118" s="149" t="s">
        <v>34</v>
      </c>
      <c r="E118" s="157" t="s">
        <v>914</v>
      </c>
      <c r="F118" s="149" t="s">
        <v>97</v>
      </c>
      <c r="G118" s="149" t="s">
        <v>98</v>
      </c>
      <c r="H118" s="149" t="s">
        <v>99</v>
      </c>
      <c r="I118" s="157" t="s">
        <v>914</v>
      </c>
      <c r="J118" s="149" t="s">
        <v>112</v>
      </c>
      <c r="K118" s="149" t="s">
        <v>115</v>
      </c>
      <c r="L118" s="149" t="s">
        <v>119</v>
      </c>
      <c r="M118" s="157" t="s">
        <v>914</v>
      </c>
      <c r="N118" s="149" t="s">
        <v>121</v>
      </c>
      <c r="O118" s="149" t="s">
        <v>123</v>
      </c>
      <c r="P118" s="149" t="s">
        <v>125</v>
      </c>
      <c r="Q118" s="157" t="s">
        <v>914</v>
      </c>
      <c r="W118" s="123"/>
      <c r="X118" s="149" t="s">
        <v>33</v>
      </c>
      <c r="Y118" s="149" t="s">
        <v>96</v>
      </c>
      <c r="Z118" s="149" t="s">
        <v>34</v>
      </c>
      <c r="AA118" s="157" t="s">
        <v>914</v>
      </c>
      <c r="AB118" s="149" t="s">
        <v>97</v>
      </c>
      <c r="AC118" s="149" t="s">
        <v>98</v>
      </c>
      <c r="AD118" s="149" t="s">
        <v>99</v>
      </c>
      <c r="AE118" s="157" t="s">
        <v>914</v>
      </c>
      <c r="AF118" s="149" t="s">
        <v>112</v>
      </c>
      <c r="AG118" s="149" t="s">
        <v>115</v>
      </c>
      <c r="AH118" s="149" t="s">
        <v>119</v>
      </c>
      <c r="AI118" s="157" t="s">
        <v>914</v>
      </c>
      <c r="AJ118" s="149" t="s">
        <v>121</v>
      </c>
      <c r="AK118" s="149" t="s">
        <v>123</v>
      </c>
      <c r="AL118" s="149" t="s">
        <v>125</v>
      </c>
      <c r="AM118" s="157" t="s">
        <v>914</v>
      </c>
    </row>
    <row r="119" customFormat="false" ht="15" hidden="false" customHeight="false" outlineLevel="0" collapsed="false">
      <c r="A119" s="152" t="s">
        <v>65</v>
      </c>
      <c r="B119" s="154"/>
      <c r="C119" s="154"/>
      <c r="D119" s="154"/>
      <c r="E119" s="154"/>
      <c r="F119" s="154"/>
      <c r="G119" s="154"/>
      <c r="H119" s="153" t="n">
        <v>1.98</v>
      </c>
      <c r="I119" s="159" t="n">
        <v>1.98</v>
      </c>
      <c r="J119" s="154"/>
      <c r="K119" s="154"/>
      <c r="L119" s="154"/>
      <c r="M119" s="154"/>
      <c r="N119" s="154"/>
      <c r="O119" s="154"/>
      <c r="P119" s="153" t="n">
        <v>1.98</v>
      </c>
      <c r="Q119" s="159" t="n">
        <v>1.98</v>
      </c>
      <c r="W119" s="152" t="s">
        <v>65</v>
      </c>
      <c r="X119" s="154"/>
      <c r="Y119" s="154"/>
      <c r="Z119" s="154"/>
      <c r="AA119" s="154"/>
      <c r="AB119" s="154"/>
      <c r="AC119" s="154"/>
      <c r="AD119" s="154"/>
      <c r="AE119" s="154"/>
      <c r="AF119" s="154"/>
      <c r="AG119" s="154"/>
      <c r="AH119" s="154"/>
      <c r="AI119" s="154"/>
      <c r="AJ119" s="154"/>
      <c r="AK119" s="154"/>
      <c r="AL119" s="154"/>
      <c r="AM119" s="154"/>
    </row>
    <row r="120" customFormat="false" ht="15" hidden="false" customHeight="false" outlineLevel="0" collapsed="false">
      <c r="A120" s="152" t="s">
        <v>71</v>
      </c>
      <c r="B120" s="154"/>
      <c r="C120" s="154"/>
      <c r="D120" s="154"/>
      <c r="E120" s="154"/>
      <c r="F120" s="153" t="n">
        <v>2.35</v>
      </c>
      <c r="G120" s="154"/>
      <c r="H120" s="154"/>
      <c r="I120" s="159" t="n">
        <v>2.35</v>
      </c>
      <c r="J120" s="154"/>
      <c r="K120" s="154"/>
      <c r="L120" s="154"/>
      <c r="M120" s="154"/>
      <c r="N120" s="153" t="n">
        <v>2.35</v>
      </c>
      <c r="O120" s="154"/>
      <c r="P120" s="154"/>
      <c r="Q120" s="159" t="n">
        <v>2.35</v>
      </c>
      <c r="W120" s="152" t="s">
        <v>71</v>
      </c>
      <c r="X120" s="154"/>
      <c r="Y120" s="154"/>
      <c r="Z120" s="154"/>
      <c r="AA120" s="154"/>
      <c r="AB120" s="154"/>
      <c r="AC120" s="154"/>
      <c r="AD120" s="154"/>
      <c r="AE120" s="154"/>
      <c r="AF120" s="154"/>
      <c r="AG120" s="154"/>
      <c r="AH120" s="154"/>
      <c r="AI120" s="154"/>
      <c r="AJ120" s="154"/>
      <c r="AK120" s="154"/>
      <c r="AL120" s="154"/>
      <c r="AM120" s="154"/>
    </row>
    <row r="121" customFormat="false" ht="15" hidden="false" customHeight="false" outlineLevel="0" collapsed="false">
      <c r="A121" s="152" t="s">
        <v>74</v>
      </c>
      <c r="B121" s="154"/>
      <c r="C121" s="154"/>
      <c r="D121" s="154"/>
      <c r="E121" s="154"/>
      <c r="F121" s="153" t="n">
        <v>2.35</v>
      </c>
      <c r="G121" s="154"/>
      <c r="H121" s="153" t="n">
        <v>1.98</v>
      </c>
      <c r="I121" s="159" t="n">
        <v>4.33</v>
      </c>
      <c r="J121" s="154"/>
      <c r="K121" s="154"/>
      <c r="L121" s="154"/>
      <c r="M121" s="154"/>
      <c r="N121" s="153" t="n">
        <v>2.35</v>
      </c>
      <c r="O121" s="154"/>
      <c r="P121" s="153" t="n">
        <v>1.98</v>
      </c>
      <c r="Q121" s="159" t="n">
        <v>4.33</v>
      </c>
      <c r="W121" s="152" t="s">
        <v>74</v>
      </c>
      <c r="X121" s="154"/>
      <c r="Y121" s="154"/>
      <c r="Z121" s="154"/>
      <c r="AA121" s="154"/>
      <c r="AB121" s="154"/>
      <c r="AC121" s="154"/>
      <c r="AD121" s="154"/>
      <c r="AE121" s="154"/>
      <c r="AF121" s="154"/>
      <c r="AG121" s="154"/>
      <c r="AH121" s="154"/>
      <c r="AI121" s="154"/>
      <c r="AJ121" s="154"/>
      <c r="AK121" s="154"/>
      <c r="AL121" s="154"/>
      <c r="AM121" s="154"/>
    </row>
    <row r="122" customFormat="false" ht="15" hidden="false" customHeight="false" outlineLevel="0" collapsed="false">
      <c r="A122" s="152" t="s">
        <v>75</v>
      </c>
      <c r="B122" s="154"/>
      <c r="C122" s="154"/>
      <c r="D122" s="154"/>
      <c r="E122" s="154"/>
      <c r="F122" s="154"/>
      <c r="G122" s="154"/>
      <c r="H122" s="153" t="n">
        <v>1.98</v>
      </c>
      <c r="I122" s="159" t="n">
        <v>1.98</v>
      </c>
      <c r="J122" s="154"/>
      <c r="K122" s="154"/>
      <c r="L122" s="154"/>
      <c r="M122" s="154"/>
      <c r="N122" s="154"/>
      <c r="O122" s="154"/>
      <c r="P122" s="153" t="n">
        <v>1.99</v>
      </c>
      <c r="Q122" s="159" t="n">
        <v>1.99</v>
      </c>
      <c r="W122" s="152" t="s">
        <v>75</v>
      </c>
      <c r="X122" s="154"/>
      <c r="Y122" s="154"/>
      <c r="Z122" s="154"/>
      <c r="AA122" s="154"/>
      <c r="AB122" s="154"/>
      <c r="AC122" s="154"/>
      <c r="AD122" s="154"/>
      <c r="AE122" s="154"/>
      <c r="AF122" s="154"/>
      <c r="AG122" s="154"/>
      <c r="AH122" s="154"/>
      <c r="AI122" s="154"/>
      <c r="AJ122" s="154"/>
      <c r="AK122" s="154"/>
      <c r="AL122" s="154"/>
      <c r="AM122" s="154"/>
    </row>
    <row r="123" customFormat="false" ht="15" hidden="false" customHeight="false" outlineLevel="0" collapsed="false">
      <c r="A123" s="152" t="s">
        <v>70</v>
      </c>
      <c r="B123" s="154"/>
      <c r="C123" s="154"/>
      <c r="D123" s="154"/>
      <c r="E123" s="154"/>
      <c r="F123" s="154"/>
      <c r="G123" s="154"/>
      <c r="H123" s="153" t="n">
        <v>1.98</v>
      </c>
      <c r="I123" s="159" t="n">
        <v>1.98</v>
      </c>
      <c r="J123" s="154"/>
      <c r="K123" s="154"/>
      <c r="L123" s="154"/>
      <c r="M123" s="154"/>
      <c r="N123" s="154"/>
      <c r="O123" s="154"/>
      <c r="P123" s="153" t="n">
        <v>1.98</v>
      </c>
      <c r="Q123" s="159" t="n">
        <v>1.98</v>
      </c>
      <c r="W123" s="152" t="s">
        <v>70</v>
      </c>
      <c r="X123" s="154"/>
      <c r="Y123" s="154"/>
      <c r="Z123" s="154"/>
      <c r="AA123" s="154"/>
      <c r="AB123" s="154"/>
      <c r="AC123" s="154"/>
      <c r="AD123" s="154"/>
      <c r="AE123" s="154"/>
      <c r="AF123" s="154"/>
      <c r="AG123" s="154"/>
      <c r="AH123" s="154"/>
      <c r="AI123" s="154"/>
      <c r="AJ123" s="154"/>
      <c r="AK123" s="154"/>
      <c r="AL123" s="154"/>
      <c r="AM123" s="154"/>
    </row>
    <row r="128" customFormat="false" ht="15" hidden="false" customHeight="false" outlineLevel="0" collapsed="false">
      <c r="A128" s="147" t="s">
        <v>953</v>
      </c>
      <c r="B128" s="147"/>
      <c r="C128" s="147"/>
      <c r="D128" s="147"/>
      <c r="E128" s="147"/>
      <c r="F128" s="147"/>
      <c r="G128" s="147"/>
      <c r="H128" s="147"/>
      <c r="I128" s="147"/>
      <c r="J128" s="147"/>
      <c r="K128" s="147"/>
      <c r="L128" s="147"/>
      <c r="M128" s="147"/>
      <c r="N128" s="147"/>
      <c r="O128" s="147"/>
      <c r="P128" s="147"/>
    </row>
    <row r="129" customFormat="false" ht="15" hidden="false" customHeight="false" outlineLevel="0" collapsed="false">
      <c r="A129" s="147"/>
      <c r="B129" s="147"/>
      <c r="C129" s="147"/>
      <c r="D129" s="147"/>
      <c r="E129" s="147"/>
      <c r="F129" s="147"/>
      <c r="G129" s="147"/>
      <c r="H129" s="147"/>
      <c r="I129" s="147"/>
      <c r="J129" s="147"/>
      <c r="K129" s="147"/>
      <c r="L129" s="147"/>
      <c r="M129" s="147"/>
      <c r="N129" s="147"/>
      <c r="O129" s="147"/>
      <c r="P129" s="147"/>
    </row>
    <row r="131" customFormat="false" ht="15" hidden="false" customHeight="false" outlineLevel="0" collapsed="false">
      <c r="A131" s="148" t="s">
        <v>954</v>
      </c>
      <c r="B131" s="148"/>
      <c r="C131" s="148"/>
      <c r="D131" s="148"/>
      <c r="E131" s="148"/>
      <c r="F131" s="148"/>
      <c r="G131" s="148"/>
      <c r="H131" s="148"/>
      <c r="I131" s="148"/>
      <c r="J131" s="148"/>
      <c r="K131" s="148"/>
      <c r="L131" s="148"/>
      <c r="M131" s="148"/>
      <c r="N131" s="148"/>
      <c r="O131" s="148"/>
      <c r="P131" s="148"/>
      <c r="Q131" s="148"/>
      <c r="W131" s="148" t="s">
        <v>955</v>
      </c>
      <c r="X131" s="148"/>
      <c r="Y131" s="148"/>
      <c r="Z131" s="148"/>
      <c r="AA131" s="148"/>
      <c r="AB131" s="148"/>
      <c r="AC131" s="148"/>
      <c r="AD131" s="148"/>
      <c r="AE131" s="148"/>
      <c r="AF131" s="148"/>
      <c r="AG131" s="148"/>
      <c r="AH131" s="148"/>
      <c r="AI131" s="148"/>
      <c r="AJ131" s="148"/>
      <c r="AK131" s="148"/>
      <c r="AL131" s="148"/>
      <c r="AM131" s="148"/>
    </row>
    <row r="132" customFormat="false" ht="15" hidden="false" customHeight="false" outlineLevel="0" collapsed="false">
      <c r="A132" s="123"/>
      <c r="B132" s="149" t="s">
        <v>33</v>
      </c>
      <c r="C132" s="149" t="s">
        <v>96</v>
      </c>
      <c r="D132" s="149" t="s">
        <v>34</v>
      </c>
      <c r="E132" s="157" t="s">
        <v>914</v>
      </c>
      <c r="F132" s="149" t="s">
        <v>97</v>
      </c>
      <c r="G132" s="149" t="s">
        <v>98</v>
      </c>
      <c r="H132" s="149" t="s">
        <v>99</v>
      </c>
      <c r="I132" s="157" t="s">
        <v>914</v>
      </c>
      <c r="J132" s="149" t="s">
        <v>112</v>
      </c>
      <c r="K132" s="149" t="s">
        <v>115</v>
      </c>
      <c r="L132" s="149" t="s">
        <v>119</v>
      </c>
      <c r="M132" s="157" t="s">
        <v>914</v>
      </c>
      <c r="N132" s="149" t="s">
        <v>121</v>
      </c>
      <c r="O132" s="149" t="s">
        <v>123</v>
      </c>
      <c r="P132" s="149" t="s">
        <v>125</v>
      </c>
      <c r="Q132" s="157" t="s">
        <v>914</v>
      </c>
      <c r="W132" s="123"/>
      <c r="X132" s="149" t="s">
        <v>33</v>
      </c>
      <c r="Y132" s="149" t="s">
        <v>96</v>
      </c>
      <c r="Z132" s="149" t="s">
        <v>34</v>
      </c>
      <c r="AA132" s="157" t="s">
        <v>914</v>
      </c>
      <c r="AB132" s="149" t="s">
        <v>97</v>
      </c>
      <c r="AC132" s="149" t="s">
        <v>98</v>
      </c>
      <c r="AD132" s="149" t="s">
        <v>99</v>
      </c>
      <c r="AE132" s="157" t="s">
        <v>914</v>
      </c>
      <c r="AF132" s="149" t="s">
        <v>112</v>
      </c>
      <c r="AG132" s="149" t="s">
        <v>115</v>
      </c>
      <c r="AH132" s="149" t="s">
        <v>119</v>
      </c>
      <c r="AI132" s="157" t="s">
        <v>914</v>
      </c>
      <c r="AJ132" s="149" t="s">
        <v>121</v>
      </c>
      <c r="AK132" s="149" t="s">
        <v>123</v>
      </c>
      <c r="AL132" s="149" t="s">
        <v>125</v>
      </c>
      <c r="AM132" s="157" t="s">
        <v>914</v>
      </c>
    </row>
    <row r="133" customFormat="false" ht="15" hidden="false" customHeight="false" outlineLevel="0" collapsed="false">
      <c r="A133" s="152" t="s">
        <v>65</v>
      </c>
      <c r="B133" s="154"/>
      <c r="C133" s="154"/>
      <c r="D133" s="153" t="n">
        <v>-1.98</v>
      </c>
      <c r="E133" s="159" t="n">
        <v>-1.98</v>
      </c>
      <c r="F133" s="154"/>
      <c r="G133" s="154"/>
      <c r="H133" s="154"/>
      <c r="I133" s="154"/>
      <c r="J133" s="154"/>
      <c r="K133" s="154"/>
      <c r="L133" s="153" t="n">
        <v>-1.98</v>
      </c>
      <c r="M133" s="159" t="n">
        <v>-1.98</v>
      </c>
      <c r="N133" s="154"/>
      <c r="O133" s="154"/>
      <c r="P133" s="154"/>
      <c r="Q133" s="154"/>
      <c r="W133" s="152" t="s">
        <v>65</v>
      </c>
      <c r="X133" s="154"/>
      <c r="Y133" s="154"/>
      <c r="Z133" s="156" t="n">
        <v>1</v>
      </c>
      <c r="AA133" s="158" t="n">
        <v>1</v>
      </c>
      <c r="AB133" s="154"/>
      <c r="AC133" s="154"/>
      <c r="AD133" s="154"/>
      <c r="AE133" s="154"/>
      <c r="AF133" s="154"/>
      <c r="AG133" s="154"/>
      <c r="AH133" s="156" t="n">
        <v>1</v>
      </c>
      <c r="AI133" s="158" t="n">
        <v>1</v>
      </c>
      <c r="AJ133" s="154"/>
      <c r="AK133" s="154"/>
      <c r="AL133" s="154"/>
      <c r="AM133" s="154"/>
    </row>
    <row r="134" customFormat="false" ht="15" hidden="false" customHeight="false" outlineLevel="0" collapsed="false">
      <c r="A134" s="152" t="s">
        <v>71</v>
      </c>
      <c r="B134" s="153" t="n">
        <v>2.35</v>
      </c>
      <c r="C134" s="154"/>
      <c r="D134" s="154"/>
      <c r="E134" s="159" t="n">
        <v>2.35</v>
      </c>
      <c r="F134" s="154"/>
      <c r="G134" s="154"/>
      <c r="H134" s="154"/>
      <c r="I134" s="154"/>
      <c r="J134" s="153" t="n">
        <v>2.35</v>
      </c>
      <c r="K134" s="154"/>
      <c r="L134" s="154"/>
      <c r="M134" s="159" t="n">
        <v>2.35</v>
      </c>
      <c r="N134" s="154"/>
      <c r="O134" s="154"/>
      <c r="P134" s="154"/>
      <c r="Q134" s="154"/>
      <c r="W134" s="152" t="s">
        <v>71</v>
      </c>
      <c r="X134" s="156" t="n">
        <v>1</v>
      </c>
      <c r="Y134" s="154"/>
      <c r="Z134" s="154"/>
      <c r="AA134" s="158" t="n">
        <v>1</v>
      </c>
      <c r="AB134" s="154"/>
      <c r="AC134" s="154"/>
      <c r="AD134" s="154"/>
      <c r="AE134" s="154"/>
      <c r="AF134" s="156" t="n">
        <v>1</v>
      </c>
      <c r="AG134" s="154"/>
      <c r="AH134" s="154"/>
      <c r="AI134" s="158" t="n">
        <v>1</v>
      </c>
      <c r="AJ134" s="154"/>
      <c r="AK134" s="154"/>
      <c r="AL134" s="154"/>
      <c r="AM134" s="154"/>
    </row>
    <row r="135" customFormat="false" ht="15" hidden="false" customHeight="false" outlineLevel="0" collapsed="false">
      <c r="A135" s="152" t="s">
        <v>74</v>
      </c>
      <c r="B135" s="153" t="n">
        <v>2.35</v>
      </c>
      <c r="C135" s="154"/>
      <c r="D135" s="153" t="n">
        <v>-1.98</v>
      </c>
      <c r="E135" s="159" t="n">
        <v>0.37</v>
      </c>
      <c r="F135" s="154"/>
      <c r="G135" s="154"/>
      <c r="H135" s="154"/>
      <c r="I135" s="154"/>
      <c r="J135" s="153" t="n">
        <v>2.35</v>
      </c>
      <c r="K135" s="154"/>
      <c r="L135" s="153" t="n">
        <v>-1.98</v>
      </c>
      <c r="M135" s="159" t="n">
        <v>0.37</v>
      </c>
      <c r="N135" s="154"/>
      <c r="O135" s="154"/>
      <c r="P135" s="154"/>
      <c r="Q135" s="154"/>
      <c r="W135" s="152" t="s">
        <v>74</v>
      </c>
      <c r="X135" s="156" t="n">
        <v>1</v>
      </c>
      <c r="Y135" s="154"/>
      <c r="Z135" s="156" t="n">
        <v>1</v>
      </c>
      <c r="AA135" s="158" t="n">
        <v>2</v>
      </c>
      <c r="AB135" s="154"/>
      <c r="AC135" s="154"/>
      <c r="AD135" s="154"/>
      <c r="AE135" s="154"/>
      <c r="AF135" s="156" t="n">
        <v>1</v>
      </c>
      <c r="AG135" s="154"/>
      <c r="AH135" s="156" t="n">
        <v>1</v>
      </c>
      <c r="AI135" s="158" t="n">
        <v>2</v>
      </c>
      <c r="AJ135" s="154"/>
      <c r="AK135" s="154"/>
      <c r="AL135" s="154"/>
      <c r="AM135" s="154"/>
    </row>
    <row r="136" customFormat="false" ht="15" hidden="false" customHeight="false" outlineLevel="0" collapsed="false">
      <c r="A136" s="152" t="s">
        <v>75</v>
      </c>
      <c r="B136" s="154"/>
      <c r="C136" s="154"/>
      <c r="D136" s="153" t="n">
        <v>-1.98</v>
      </c>
      <c r="E136" s="159" t="n">
        <v>-1.98</v>
      </c>
      <c r="F136" s="154"/>
      <c r="G136" s="154"/>
      <c r="H136" s="154"/>
      <c r="I136" s="154"/>
      <c r="J136" s="154"/>
      <c r="K136" s="154"/>
      <c r="L136" s="153" t="n">
        <v>-1.99</v>
      </c>
      <c r="M136" s="159" t="n">
        <v>-1.99</v>
      </c>
      <c r="N136" s="154"/>
      <c r="O136" s="154"/>
      <c r="P136" s="154"/>
      <c r="Q136" s="154"/>
      <c r="W136" s="152" t="s">
        <v>75</v>
      </c>
      <c r="X136" s="154"/>
      <c r="Y136" s="154"/>
      <c r="Z136" s="156" t="n">
        <v>1</v>
      </c>
      <c r="AA136" s="158" t="n">
        <v>1</v>
      </c>
      <c r="AB136" s="154"/>
      <c r="AC136" s="154"/>
      <c r="AD136" s="154"/>
      <c r="AE136" s="154"/>
      <c r="AF136" s="154"/>
      <c r="AG136" s="154"/>
      <c r="AH136" s="156" t="n">
        <v>1</v>
      </c>
      <c r="AI136" s="158" t="n">
        <v>1</v>
      </c>
      <c r="AJ136" s="154"/>
      <c r="AK136" s="154"/>
      <c r="AL136" s="154"/>
      <c r="AM136" s="154"/>
    </row>
    <row r="137" customFormat="false" ht="15" hidden="false" customHeight="false" outlineLevel="0" collapsed="false">
      <c r="A137" s="152" t="s">
        <v>70</v>
      </c>
      <c r="B137" s="154"/>
      <c r="C137" s="154"/>
      <c r="D137" s="153" t="n">
        <v>-1.98</v>
      </c>
      <c r="E137" s="159" t="n">
        <v>-1.98</v>
      </c>
      <c r="F137" s="154"/>
      <c r="G137" s="154"/>
      <c r="H137" s="154"/>
      <c r="I137" s="154"/>
      <c r="J137" s="154"/>
      <c r="K137" s="154"/>
      <c r="L137" s="153" t="n">
        <v>-1.98</v>
      </c>
      <c r="M137" s="159" t="n">
        <v>-1.98</v>
      </c>
      <c r="N137" s="154"/>
      <c r="O137" s="154"/>
      <c r="P137" s="154"/>
      <c r="Q137" s="154"/>
      <c r="W137" s="152" t="s">
        <v>70</v>
      </c>
      <c r="X137" s="154"/>
      <c r="Y137" s="154"/>
      <c r="Z137" s="156" t="n">
        <v>1</v>
      </c>
      <c r="AA137" s="158" t="n">
        <v>1</v>
      </c>
      <c r="AB137" s="154"/>
      <c r="AC137" s="154"/>
      <c r="AD137" s="154"/>
      <c r="AE137" s="154"/>
      <c r="AF137" s="154"/>
      <c r="AG137" s="154"/>
      <c r="AH137" s="156" t="n">
        <v>1</v>
      </c>
      <c r="AI137" s="158" t="n">
        <v>1</v>
      </c>
      <c r="AJ137" s="154"/>
      <c r="AK137" s="154"/>
      <c r="AL137" s="154"/>
      <c r="AM137" s="154"/>
    </row>
    <row r="141" customFormat="false" ht="15" hidden="false" customHeight="false" outlineLevel="0" collapsed="false">
      <c r="A141" s="148" t="s">
        <v>956</v>
      </c>
      <c r="B141" s="148"/>
      <c r="C141" s="148"/>
      <c r="D141" s="148"/>
      <c r="E141" s="148"/>
      <c r="F141" s="148"/>
      <c r="G141" s="148"/>
      <c r="H141" s="148"/>
      <c r="I141" s="148"/>
      <c r="J141" s="148"/>
      <c r="K141" s="148"/>
      <c r="L141" s="148"/>
      <c r="M141" s="148"/>
      <c r="N141" s="148"/>
      <c r="O141" s="148"/>
      <c r="P141" s="148"/>
      <c r="Q141" s="148"/>
      <c r="W141" s="148" t="s">
        <v>957</v>
      </c>
      <c r="X141" s="148"/>
      <c r="Y141" s="148"/>
      <c r="Z141" s="148"/>
      <c r="AA141" s="148"/>
      <c r="AB141" s="148"/>
      <c r="AC141" s="148"/>
      <c r="AD141" s="148"/>
      <c r="AE141" s="148"/>
      <c r="AF141" s="148"/>
      <c r="AG141" s="148"/>
      <c r="AH141" s="148"/>
      <c r="AI141" s="148"/>
      <c r="AJ141" s="148"/>
      <c r="AK141" s="148"/>
      <c r="AL141" s="148"/>
      <c r="AM141" s="148"/>
    </row>
    <row r="142" customFormat="false" ht="15" hidden="false" customHeight="false" outlineLevel="0" collapsed="false">
      <c r="A142" s="123"/>
      <c r="B142" s="149" t="s">
        <v>33</v>
      </c>
      <c r="C142" s="149" t="s">
        <v>96</v>
      </c>
      <c r="D142" s="149" t="s">
        <v>34</v>
      </c>
      <c r="E142" s="157" t="s">
        <v>914</v>
      </c>
      <c r="F142" s="149" t="s">
        <v>97</v>
      </c>
      <c r="G142" s="149" t="s">
        <v>98</v>
      </c>
      <c r="H142" s="149" t="s">
        <v>99</v>
      </c>
      <c r="I142" s="157" t="s">
        <v>914</v>
      </c>
      <c r="J142" s="149" t="s">
        <v>112</v>
      </c>
      <c r="K142" s="149" t="s">
        <v>115</v>
      </c>
      <c r="L142" s="149" t="s">
        <v>119</v>
      </c>
      <c r="M142" s="157" t="s">
        <v>914</v>
      </c>
      <c r="N142" s="149" t="s">
        <v>121</v>
      </c>
      <c r="O142" s="149" t="s">
        <v>123</v>
      </c>
      <c r="P142" s="149" t="s">
        <v>125</v>
      </c>
      <c r="Q142" s="157" t="s">
        <v>914</v>
      </c>
      <c r="W142" s="123"/>
      <c r="X142" s="149" t="s">
        <v>33</v>
      </c>
      <c r="Y142" s="149" t="s">
        <v>96</v>
      </c>
      <c r="Z142" s="149" t="s">
        <v>34</v>
      </c>
      <c r="AA142" s="157" t="s">
        <v>914</v>
      </c>
      <c r="AB142" s="149" t="s">
        <v>97</v>
      </c>
      <c r="AC142" s="149" t="s">
        <v>98</v>
      </c>
      <c r="AD142" s="149" t="s">
        <v>99</v>
      </c>
      <c r="AE142" s="157" t="s">
        <v>914</v>
      </c>
      <c r="AF142" s="149" t="s">
        <v>112</v>
      </c>
      <c r="AG142" s="149" t="s">
        <v>115</v>
      </c>
      <c r="AH142" s="149" t="s">
        <v>119</v>
      </c>
      <c r="AI142" s="157" t="s">
        <v>914</v>
      </c>
      <c r="AJ142" s="149" t="s">
        <v>121</v>
      </c>
      <c r="AK142" s="149" t="s">
        <v>123</v>
      </c>
      <c r="AL142" s="149" t="s">
        <v>125</v>
      </c>
      <c r="AM142" s="157" t="s">
        <v>914</v>
      </c>
    </row>
    <row r="143" customFormat="false" ht="15" hidden="false" customHeight="false" outlineLevel="0" collapsed="false">
      <c r="A143" s="152" t="s">
        <v>65</v>
      </c>
      <c r="B143" s="154"/>
      <c r="C143" s="154"/>
      <c r="D143" s="153" t="n">
        <v>1.98</v>
      </c>
      <c r="E143" s="159" t="n">
        <v>1.98</v>
      </c>
      <c r="F143" s="154"/>
      <c r="G143" s="154"/>
      <c r="H143" s="154"/>
      <c r="I143" s="154"/>
      <c r="J143" s="154"/>
      <c r="K143" s="154"/>
      <c r="L143" s="153" t="n">
        <v>1.98</v>
      </c>
      <c r="M143" s="159" t="n">
        <v>1.98</v>
      </c>
      <c r="N143" s="154"/>
      <c r="O143" s="154"/>
      <c r="P143" s="154"/>
      <c r="Q143" s="154"/>
      <c r="W143" s="152" t="s">
        <v>65</v>
      </c>
      <c r="X143" s="154"/>
      <c r="Y143" s="154"/>
      <c r="Z143" s="154"/>
      <c r="AA143" s="154"/>
      <c r="AB143" s="154"/>
      <c r="AC143" s="154"/>
      <c r="AD143" s="154"/>
      <c r="AE143" s="154"/>
      <c r="AF143" s="154"/>
      <c r="AG143" s="154"/>
      <c r="AH143" s="154"/>
      <c r="AI143" s="154"/>
      <c r="AJ143" s="154"/>
      <c r="AK143" s="154"/>
      <c r="AL143" s="154"/>
      <c r="AM143" s="154"/>
    </row>
    <row r="144" customFormat="false" ht="15" hidden="false" customHeight="false" outlineLevel="0" collapsed="false">
      <c r="A144" s="152" t="s">
        <v>71</v>
      </c>
      <c r="B144" s="153" t="n">
        <v>2.35</v>
      </c>
      <c r="C144" s="154"/>
      <c r="D144" s="154"/>
      <c r="E144" s="159" t="n">
        <v>2.35</v>
      </c>
      <c r="F144" s="154"/>
      <c r="G144" s="154"/>
      <c r="H144" s="154"/>
      <c r="I144" s="154"/>
      <c r="J144" s="153" t="n">
        <v>2.35</v>
      </c>
      <c r="K144" s="154"/>
      <c r="L144" s="154"/>
      <c r="M144" s="159" t="n">
        <v>2.35</v>
      </c>
      <c r="N144" s="154"/>
      <c r="O144" s="154"/>
      <c r="P144" s="154"/>
      <c r="Q144" s="154"/>
      <c r="W144" s="152" t="s">
        <v>71</v>
      </c>
      <c r="X144" s="154"/>
      <c r="Y144" s="154"/>
      <c r="Z144" s="154"/>
      <c r="AA144" s="154"/>
      <c r="AB144" s="154"/>
      <c r="AC144" s="154"/>
      <c r="AD144" s="154"/>
      <c r="AE144" s="154"/>
      <c r="AF144" s="154"/>
      <c r="AG144" s="154"/>
      <c r="AH144" s="154"/>
      <c r="AI144" s="154"/>
      <c r="AJ144" s="154"/>
      <c r="AK144" s="154"/>
      <c r="AL144" s="154"/>
      <c r="AM144" s="154"/>
    </row>
    <row r="145" customFormat="false" ht="15" hidden="false" customHeight="false" outlineLevel="0" collapsed="false">
      <c r="A145" s="152" t="s">
        <v>74</v>
      </c>
      <c r="B145" s="153" t="n">
        <v>2.35</v>
      </c>
      <c r="C145" s="154"/>
      <c r="D145" s="153" t="n">
        <v>1.98</v>
      </c>
      <c r="E145" s="159" t="n">
        <v>4.33</v>
      </c>
      <c r="F145" s="154"/>
      <c r="G145" s="154"/>
      <c r="H145" s="154"/>
      <c r="I145" s="154"/>
      <c r="J145" s="153" t="n">
        <v>2.35</v>
      </c>
      <c r="K145" s="154"/>
      <c r="L145" s="153" t="n">
        <v>1.98</v>
      </c>
      <c r="M145" s="159" t="n">
        <v>4.33</v>
      </c>
      <c r="N145" s="154"/>
      <c r="O145" s="154"/>
      <c r="P145" s="154"/>
      <c r="Q145" s="154"/>
      <c r="W145" s="152" t="s">
        <v>74</v>
      </c>
      <c r="X145" s="154"/>
      <c r="Y145" s="154"/>
      <c r="Z145" s="154"/>
      <c r="AA145" s="154"/>
      <c r="AB145" s="154"/>
      <c r="AC145" s="154"/>
      <c r="AD145" s="154"/>
      <c r="AE145" s="154"/>
      <c r="AF145" s="154"/>
      <c r="AG145" s="154"/>
      <c r="AH145" s="154"/>
      <c r="AI145" s="154"/>
      <c r="AJ145" s="154"/>
      <c r="AK145" s="154"/>
      <c r="AL145" s="154"/>
      <c r="AM145" s="154"/>
    </row>
    <row r="146" customFormat="false" ht="15" hidden="false" customHeight="false" outlineLevel="0" collapsed="false">
      <c r="A146" s="152" t="s">
        <v>75</v>
      </c>
      <c r="B146" s="154"/>
      <c r="C146" s="154"/>
      <c r="D146" s="153" t="n">
        <v>1.98</v>
      </c>
      <c r="E146" s="159" t="n">
        <v>1.98</v>
      </c>
      <c r="F146" s="154"/>
      <c r="G146" s="154"/>
      <c r="H146" s="154"/>
      <c r="I146" s="154"/>
      <c r="J146" s="154"/>
      <c r="K146" s="154"/>
      <c r="L146" s="153" t="n">
        <v>1.99</v>
      </c>
      <c r="M146" s="159" t="n">
        <v>1.99</v>
      </c>
      <c r="N146" s="154"/>
      <c r="O146" s="154"/>
      <c r="P146" s="154"/>
      <c r="Q146" s="154"/>
      <c r="W146" s="152" t="s">
        <v>75</v>
      </c>
      <c r="X146" s="154"/>
      <c r="Y146" s="154"/>
      <c r="Z146" s="154"/>
      <c r="AA146" s="154"/>
      <c r="AB146" s="154"/>
      <c r="AC146" s="154"/>
      <c r="AD146" s="154"/>
      <c r="AE146" s="154"/>
      <c r="AF146" s="154"/>
      <c r="AG146" s="154"/>
      <c r="AH146" s="154"/>
      <c r="AI146" s="154"/>
      <c r="AJ146" s="154"/>
      <c r="AK146" s="154"/>
      <c r="AL146" s="154"/>
      <c r="AM146" s="154"/>
    </row>
    <row r="147" customFormat="false" ht="15" hidden="false" customHeight="false" outlineLevel="0" collapsed="false">
      <c r="A147" s="152" t="s">
        <v>70</v>
      </c>
      <c r="B147" s="154"/>
      <c r="C147" s="154"/>
      <c r="D147" s="153" t="n">
        <v>1.98</v>
      </c>
      <c r="E147" s="159" t="n">
        <v>1.98</v>
      </c>
      <c r="F147" s="154"/>
      <c r="G147" s="154"/>
      <c r="H147" s="154"/>
      <c r="I147" s="154"/>
      <c r="J147" s="154"/>
      <c r="K147" s="154"/>
      <c r="L147" s="153" t="n">
        <v>1.98</v>
      </c>
      <c r="M147" s="159" t="n">
        <v>1.98</v>
      </c>
      <c r="N147" s="154"/>
      <c r="O147" s="154"/>
      <c r="P147" s="154"/>
      <c r="Q147" s="154"/>
      <c r="W147" s="152" t="s">
        <v>70</v>
      </c>
      <c r="X147" s="154"/>
      <c r="Y147" s="154"/>
      <c r="Z147" s="154"/>
      <c r="AA147" s="154"/>
      <c r="AB147" s="154"/>
      <c r="AC147" s="154"/>
      <c r="AD147" s="154"/>
      <c r="AE147" s="154"/>
      <c r="AF147" s="154"/>
      <c r="AG147" s="154"/>
      <c r="AH147" s="154"/>
      <c r="AI147" s="154"/>
      <c r="AJ147" s="154"/>
      <c r="AK147" s="154"/>
      <c r="AL147" s="154"/>
      <c r="AM147" s="154"/>
    </row>
  </sheetData>
  <mergeCells count="32">
    <mergeCell ref="C1:E3"/>
    <mergeCell ref="C4:E5"/>
    <mergeCell ref="A8:P9"/>
    <mergeCell ref="A11:Q11"/>
    <mergeCell ref="W11:AM11"/>
    <mergeCell ref="A21:Q21"/>
    <mergeCell ref="W21:AM21"/>
    <mergeCell ref="A32:P33"/>
    <mergeCell ref="A35:Q35"/>
    <mergeCell ref="W35:AM35"/>
    <mergeCell ref="A45:Q45"/>
    <mergeCell ref="W45:AM45"/>
    <mergeCell ref="A56:P57"/>
    <mergeCell ref="A59:Q59"/>
    <mergeCell ref="W59:AM59"/>
    <mergeCell ref="A69:Q69"/>
    <mergeCell ref="W69:AM69"/>
    <mergeCell ref="A80:P81"/>
    <mergeCell ref="A83:Q83"/>
    <mergeCell ref="W83:AM83"/>
    <mergeCell ref="A93:Q93"/>
    <mergeCell ref="W93:AM93"/>
    <mergeCell ref="A104:P105"/>
    <mergeCell ref="A107:Q107"/>
    <mergeCell ref="W107:AM107"/>
    <mergeCell ref="A117:Q117"/>
    <mergeCell ref="W117:AM117"/>
    <mergeCell ref="A128:P129"/>
    <mergeCell ref="A131:Q131"/>
    <mergeCell ref="W131:AM131"/>
    <mergeCell ref="A141:Q141"/>
    <mergeCell ref="W141:AM14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10"/>
  <sheetViews>
    <sheetView showFormulas="false" showGridLines="true" showRowColHeaders="true" showZeros="true" rightToLeft="false" tabSelected="false" showOutlineSymbols="true" defaultGridColor="true" view="normal" topLeftCell="A1" colorId="64" zoomScale="197" zoomScaleNormal="197" zoomScalePageLayoutView="100" workbookViewId="0">
      <selection pane="topLeft" activeCell="A1" activeCellId="0" sqref="A1"/>
    </sheetView>
  </sheetViews>
  <sheetFormatPr defaultColWidth="8.60546875" defaultRowHeight="15" customHeight="false" zeroHeight="false" outlineLevelRow="0" outlineLevelCol="0"/>
  <sheetData>
    <row r="1" customFormat="false" ht="19.5" hidden="false" customHeight="true" outlineLevel="0" collapsed="false">
      <c r="A1" s="1"/>
      <c r="B1" s="1"/>
      <c r="C1" s="2" t="s">
        <v>958</v>
      </c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customFormat="false" ht="19.5" hidden="false" customHeight="true" outlineLevel="0" collapsed="false">
      <c r="A2" s="1"/>
      <c r="B2" s="1"/>
      <c r="C2" s="2"/>
      <c r="D2" s="2"/>
      <c r="E2" s="2"/>
      <c r="F2" s="3"/>
      <c r="G2" s="4" t="s">
        <v>1</v>
      </c>
      <c r="H2" s="5" t="s">
        <v>2</v>
      </c>
      <c r="I2" s="3"/>
      <c r="J2" s="3"/>
      <c r="K2" s="3"/>
      <c r="L2" s="3"/>
      <c r="M2" s="3"/>
      <c r="N2" s="3"/>
      <c r="O2" s="3"/>
      <c r="P2" s="3"/>
      <c r="Q2" s="3"/>
      <c r="R2" s="3"/>
    </row>
    <row r="3" customFormat="false" ht="19.5" hidden="false" customHeight="true" outlineLevel="0" collapsed="false">
      <c r="A3" s="1"/>
      <c r="B3" s="1"/>
      <c r="C3" s="2"/>
      <c r="D3" s="2"/>
      <c r="E3" s="2"/>
      <c r="F3" s="3"/>
      <c r="G3" s="4" t="s">
        <v>3</v>
      </c>
      <c r="H3" s="5" t="s">
        <v>4</v>
      </c>
      <c r="I3" s="3"/>
      <c r="J3" s="3"/>
      <c r="K3" s="4" t="s">
        <v>5</v>
      </c>
      <c r="L3" s="6" t="s">
        <v>6</v>
      </c>
      <c r="M3" s="3"/>
      <c r="N3" s="3"/>
      <c r="O3" s="3"/>
      <c r="P3" s="3"/>
      <c r="Q3" s="3"/>
      <c r="R3" s="3"/>
    </row>
    <row r="4" customFormat="false" ht="19.5" hidden="false" customHeight="true" outlineLevel="0" collapsed="false">
      <c r="A4" s="1"/>
      <c r="B4" s="1"/>
      <c r="C4" s="7" t="s">
        <v>7</v>
      </c>
      <c r="D4" s="7"/>
      <c r="E4" s="7"/>
      <c r="F4" s="3"/>
      <c r="G4" s="4" t="s">
        <v>8</v>
      </c>
      <c r="H4" s="5" t="s">
        <v>9</v>
      </c>
      <c r="I4" s="3"/>
      <c r="J4" s="3"/>
      <c r="K4" s="4" t="s">
        <v>10</v>
      </c>
      <c r="L4" s="6" t="s">
        <v>11</v>
      </c>
      <c r="M4" s="3"/>
      <c r="N4" s="3"/>
      <c r="O4" s="3"/>
      <c r="P4" s="3"/>
      <c r="Q4" s="3"/>
      <c r="R4" s="3"/>
    </row>
    <row r="5" customFormat="false" ht="19.5" hidden="false" customHeight="true" outlineLevel="0" collapsed="false">
      <c r="A5" s="8"/>
      <c r="B5" s="8"/>
      <c r="C5" s="7"/>
      <c r="D5" s="7"/>
      <c r="E5" s="7"/>
      <c r="F5" s="9"/>
      <c r="G5" s="10" t="s">
        <v>12</v>
      </c>
      <c r="H5" s="11" t="s">
        <v>13</v>
      </c>
      <c r="I5" s="9"/>
      <c r="J5" s="9"/>
      <c r="K5" s="10" t="s">
        <v>14</v>
      </c>
      <c r="L5" s="12" t="s">
        <v>15</v>
      </c>
      <c r="M5" s="9"/>
      <c r="N5" s="9"/>
      <c r="O5" s="9"/>
      <c r="P5" s="9"/>
      <c r="Q5" s="9"/>
      <c r="R5" s="9"/>
    </row>
    <row r="8" customFormat="false" ht="15" hidden="false" customHeight="false" outlineLevel="0" collapsed="false">
      <c r="A8" s="147" t="s">
        <v>959</v>
      </c>
      <c r="B8" s="147"/>
      <c r="C8" s="147"/>
    </row>
    <row r="10" customFormat="false" ht="15" hidden="false" customHeight="false" outlineLevel="0" collapsed="false">
      <c r="A10" s="148" t="s">
        <v>960</v>
      </c>
      <c r="B10" s="148"/>
      <c r="C10" s="148"/>
      <c r="D10" s="148"/>
      <c r="F10" s="148" t="s">
        <v>961</v>
      </c>
      <c r="G10" s="148"/>
      <c r="H10" s="148"/>
      <c r="I10" s="148"/>
    </row>
    <row r="11" customFormat="false" ht="15" hidden="false" customHeight="false" outlineLevel="0" collapsed="false">
      <c r="A11" s="151"/>
      <c r="B11" s="150" t="s">
        <v>112</v>
      </c>
      <c r="C11" s="150" t="s">
        <v>121</v>
      </c>
      <c r="D11" s="161" t="s">
        <v>914</v>
      </c>
      <c r="F11" s="151"/>
      <c r="G11" s="150" t="s">
        <v>112</v>
      </c>
      <c r="H11" s="150" t="s">
        <v>121</v>
      </c>
      <c r="I11" s="161" t="s">
        <v>914</v>
      </c>
    </row>
    <row r="12" customFormat="false" ht="15" hidden="false" customHeight="false" outlineLevel="0" collapsed="false">
      <c r="A12" s="155" t="s">
        <v>33</v>
      </c>
      <c r="B12" s="153" t="n">
        <v>-3.22</v>
      </c>
      <c r="C12" s="153" t="n">
        <v>-3.22</v>
      </c>
      <c r="D12" s="159" t="n">
        <v>-6.44</v>
      </c>
      <c r="F12" s="155" t="s">
        <v>33</v>
      </c>
      <c r="G12" s="156" t="n">
        <v>6</v>
      </c>
      <c r="H12" s="156" t="n">
        <v>6</v>
      </c>
      <c r="I12" s="158" t="n">
        <v>12</v>
      </c>
    </row>
    <row r="13" customFormat="false" ht="15" hidden="false" customHeight="false" outlineLevel="0" collapsed="false">
      <c r="A13" s="155" t="s">
        <v>177</v>
      </c>
      <c r="B13" s="153" t="n">
        <v>-3.22</v>
      </c>
      <c r="C13" s="153" t="n">
        <v>-3.22</v>
      </c>
      <c r="D13" s="159" t="n">
        <v>-6.44</v>
      </c>
      <c r="F13" s="155" t="s">
        <v>177</v>
      </c>
      <c r="G13" s="156" t="n">
        <v>6</v>
      </c>
      <c r="H13" s="156" t="n">
        <v>6</v>
      </c>
      <c r="I13" s="158" t="n">
        <v>12</v>
      </c>
    </row>
    <row r="14" customFormat="false" ht="15" hidden="false" customHeight="false" outlineLevel="0" collapsed="false">
      <c r="A14" s="162" t="s">
        <v>914</v>
      </c>
      <c r="B14" s="159" t="n">
        <v>-6.44</v>
      </c>
      <c r="C14" s="159" t="n">
        <v>-6.44</v>
      </c>
      <c r="D14" s="159" t="n">
        <v>-12.88</v>
      </c>
      <c r="F14" s="162" t="s">
        <v>914</v>
      </c>
      <c r="G14" s="158" t="n">
        <v>12</v>
      </c>
      <c r="H14" s="158" t="n">
        <v>12</v>
      </c>
      <c r="I14" s="158" t="n">
        <v>24</v>
      </c>
    </row>
    <row r="16" customFormat="false" ht="15" hidden="false" customHeight="false" outlineLevel="0" collapsed="false">
      <c r="A16" s="148" t="s">
        <v>962</v>
      </c>
      <c r="B16" s="148"/>
      <c r="C16" s="148"/>
      <c r="D16" s="148"/>
      <c r="F16" s="148" t="s">
        <v>963</v>
      </c>
      <c r="G16" s="148"/>
      <c r="H16" s="148"/>
      <c r="I16" s="148"/>
    </row>
    <row r="17" customFormat="false" ht="15" hidden="false" customHeight="false" outlineLevel="0" collapsed="false">
      <c r="A17" s="151"/>
      <c r="B17" s="150" t="s">
        <v>112</v>
      </c>
      <c r="C17" s="150" t="s">
        <v>121</v>
      </c>
      <c r="D17" s="161" t="s">
        <v>914</v>
      </c>
      <c r="F17" s="151"/>
      <c r="G17" s="150" t="s">
        <v>112</v>
      </c>
      <c r="H17" s="150" t="s">
        <v>121</v>
      </c>
      <c r="I17" s="161" t="s">
        <v>914</v>
      </c>
    </row>
    <row r="18" customFormat="false" ht="15" hidden="false" customHeight="false" outlineLevel="0" collapsed="false">
      <c r="A18" s="155" t="s">
        <v>33</v>
      </c>
      <c r="B18" s="153" t="n">
        <v>12.6</v>
      </c>
      <c r="C18" s="153" t="n">
        <v>12.6</v>
      </c>
      <c r="D18" s="159" t="n">
        <v>25.2</v>
      </c>
      <c r="F18" s="155" t="s">
        <v>33</v>
      </c>
      <c r="G18" s="154"/>
      <c r="H18" s="154"/>
      <c r="I18" s="154"/>
    </row>
    <row r="19" customFormat="false" ht="15" hidden="false" customHeight="false" outlineLevel="0" collapsed="false">
      <c r="A19" s="155" t="s">
        <v>177</v>
      </c>
      <c r="B19" s="153" t="n">
        <v>12.6</v>
      </c>
      <c r="C19" s="153" t="n">
        <v>12.6</v>
      </c>
      <c r="D19" s="159" t="n">
        <v>25.2</v>
      </c>
      <c r="F19" s="155" t="s">
        <v>177</v>
      </c>
      <c r="G19" s="154"/>
      <c r="H19" s="154"/>
      <c r="I19" s="154"/>
    </row>
    <row r="20" customFormat="false" ht="15" hidden="false" customHeight="false" outlineLevel="0" collapsed="false">
      <c r="A20" s="162" t="s">
        <v>914</v>
      </c>
      <c r="B20" s="159" t="n">
        <v>25.2</v>
      </c>
      <c r="C20" s="159" t="n">
        <v>25.2</v>
      </c>
      <c r="D20" s="159" t="n">
        <v>50.4</v>
      </c>
      <c r="F20" s="162" t="s">
        <v>914</v>
      </c>
      <c r="G20" s="154"/>
      <c r="H20" s="154"/>
      <c r="I20" s="154"/>
    </row>
    <row r="23" customFormat="false" ht="15" hidden="false" customHeight="false" outlineLevel="0" collapsed="false">
      <c r="A23" s="147" t="s">
        <v>964</v>
      </c>
      <c r="B23" s="147"/>
      <c r="C23" s="147"/>
      <c r="D23" s="147"/>
      <c r="E23" s="147"/>
      <c r="F23" s="147"/>
      <c r="G23" s="147"/>
      <c r="H23" s="147"/>
      <c r="I23" s="147"/>
    </row>
    <row r="25" customFormat="false" ht="15" hidden="false" customHeight="false" outlineLevel="0" collapsed="false">
      <c r="A25" s="148" t="s">
        <v>965</v>
      </c>
      <c r="B25" s="148"/>
      <c r="C25" s="148"/>
      <c r="D25" s="148"/>
      <c r="F25" s="148" t="s">
        <v>966</v>
      </c>
      <c r="G25" s="148"/>
      <c r="H25" s="148"/>
      <c r="I25" s="148"/>
    </row>
    <row r="26" customFormat="false" ht="15" hidden="false" customHeight="false" outlineLevel="0" collapsed="false">
      <c r="A26" s="151"/>
      <c r="B26" s="150" t="s">
        <v>112</v>
      </c>
      <c r="C26" s="150" t="s">
        <v>121</v>
      </c>
      <c r="D26" s="161" t="s">
        <v>914</v>
      </c>
      <c r="F26" s="151"/>
      <c r="G26" s="150" t="s">
        <v>112</v>
      </c>
      <c r="H26" s="150" t="s">
        <v>121</v>
      </c>
      <c r="I26" s="161" t="s">
        <v>914</v>
      </c>
    </row>
    <row r="27" customFormat="false" ht="15" hidden="false" customHeight="false" outlineLevel="0" collapsed="false">
      <c r="A27" s="155" t="s">
        <v>33</v>
      </c>
      <c r="B27" s="154"/>
      <c r="C27" s="154"/>
      <c r="D27" s="154"/>
      <c r="F27" s="155" t="s">
        <v>33</v>
      </c>
      <c r="G27" s="154"/>
      <c r="H27" s="154"/>
      <c r="I27" s="154"/>
    </row>
    <row r="28" customFormat="false" ht="15" hidden="false" customHeight="false" outlineLevel="0" collapsed="false">
      <c r="A28" s="155" t="s">
        <v>177</v>
      </c>
      <c r="B28" s="154"/>
      <c r="C28" s="154"/>
      <c r="D28" s="154"/>
      <c r="F28" s="155" t="s">
        <v>177</v>
      </c>
      <c r="G28" s="154"/>
      <c r="H28" s="154"/>
      <c r="I28" s="154"/>
    </row>
    <row r="29" customFormat="false" ht="15" hidden="false" customHeight="false" outlineLevel="0" collapsed="false">
      <c r="A29" s="162" t="s">
        <v>914</v>
      </c>
      <c r="B29" s="154"/>
      <c r="C29" s="154"/>
      <c r="D29" s="154"/>
      <c r="F29" s="162" t="s">
        <v>914</v>
      </c>
      <c r="G29" s="154"/>
      <c r="H29" s="154"/>
      <c r="I29" s="154"/>
    </row>
    <row r="31" customFormat="false" ht="15" hidden="false" customHeight="false" outlineLevel="0" collapsed="false">
      <c r="A31" s="148" t="s">
        <v>967</v>
      </c>
      <c r="B31" s="148"/>
      <c r="C31" s="148"/>
      <c r="D31" s="148"/>
      <c r="F31" s="148" t="s">
        <v>968</v>
      </c>
      <c r="G31" s="148"/>
      <c r="H31" s="148"/>
      <c r="I31" s="148"/>
    </row>
    <row r="32" customFormat="false" ht="15" hidden="false" customHeight="false" outlineLevel="0" collapsed="false">
      <c r="A32" s="151"/>
      <c r="B32" s="150" t="s">
        <v>112</v>
      </c>
      <c r="C32" s="150" t="s">
        <v>121</v>
      </c>
      <c r="D32" s="161" t="s">
        <v>914</v>
      </c>
      <c r="F32" s="151"/>
      <c r="G32" s="150" t="s">
        <v>112</v>
      </c>
      <c r="H32" s="150" t="s">
        <v>121</v>
      </c>
      <c r="I32" s="161" t="s">
        <v>914</v>
      </c>
    </row>
    <row r="33" customFormat="false" ht="15" hidden="false" customHeight="false" outlineLevel="0" collapsed="false">
      <c r="A33" s="155" t="s">
        <v>33</v>
      </c>
      <c r="B33" s="154"/>
      <c r="C33" s="154"/>
      <c r="D33" s="154"/>
      <c r="F33" s="155" t="s">
        <v>33</v>
      </c>
      <c r="G33" s="154"/>
      <c r="H33" s="154"/>
      <c r="I33" s="154"/>
    </row>
    <row r="34" customFormat="false" ht="15" hidden="false" customHeight="false" outlineLevel="0" collapsed="false">
      <c r="A34" s="155" t="s">
        <v>177</v>
      </c>
      <c r="B34" s="154"/>
      <c r="C34" s="154"/>
      <c r="D34" s="154"/>
      <c r="F34" s="155" t="s">
        <v>177</v>
      </c>
      <c r="G34" s="154"/>
      <c r="H34" s="154"/>
      <c r="I34" s="154"/>
    </row>
    <row r="35" customFormat="false" ht="15" hidden="false" customHeight="false" outlineLevel="0" collapsed="false">
      <c r="A35" s="162" t="s">
        <v>914</v>
      </c>
      <c r="B35" s="154"/>
      <c r="C35" s="154"/>
      <c r="D35" s="154"/>
      <c r="F35" s="162" t="s">
        <v>914</v>
      </c>
      <c r="G35" s="154"/>
      <c r="H35" s="154"/>
      <c r="I35" s="154"/>
    </row>
    <row r="38" customFormat="false" ht="15" hidden="false" customHeight="false" outlineLevel="0" collapsed="false">
      <c r="A38" s="147" t="s">
        <v>969</v>
      </c>
      <c r="B38" s="147"/>
      <c r="C38" s="147"/>
      <c r="D38" s="147"/>
      <c r="E38" s="147"/>
      <c r="F38" s="147"/>
      <c r="G38" s="147"/>
      <c r="H38" s="147"/>
      <c r="I38" s="147"/>
    </row>
    <row r="40" customFormat="false" ht="15" hidden="false" customHeight="false" outlineLevel="0" collapsed="false">
      <c r="A40" s="148" t="s">
        <v>970</v>
      </c>
      <c r="B40" s="148"/>
      <c r="C40" s="148"/>
      <c r="D40" s="148"/>
      <c r="F40" s="148" t="s">
        <v>971</v>
      </c>
      <c r="G40" s="148"/>
      <c r="H40" s="148"/>
      <c r="I40" s="148"/>
    </row>
    <row r="41" customFormat="false" ht="15" hidden="false" customHeight="false" outlineLevel="0" collapsed="false">
      <c r="A41" s="151"/>
      <c r="B41" s="150" t="s">
        <v>112</v>
      </c>
      <c r="C41" s="150" t="s">
        <v>121</v>
      </c>
      <c r="D41" s="161" t="s">
        <v>914</v>
      </c>
      <c r="F41" s="151"/>
      <c r="G41" s="150" t="s">
        <v>112</v>
      </c>
      <c r="H41" s="150" t="s">
        <v>121</v>
      </c>
      <c r="I41" s="161" t="s">
        <v>914</v>
      </c>
    </row>
    <row r="42" customFormat="false" ht="15" hidden="false" customHeight="false" outlineLevel="0" collapsed="false">
      <c r="A42" s="155" t="s">
        <v>33</v>
      </c>
      <c r="B42" s="154"/>
      <c r="C42" s="154"/>
      <c r="D42" s="154"/>
      <c r="F42" s="155" t="s">
        <v>33</v>
      </c>
      <c r="G42" s="154"/>
      <c r="H42" s="154"/>
      <c r="I42" s="154"/>
    </row>
    <row r="43" customFormat="false" ht="15" hidden="false" customHeight="false" outlineLevel="0" collapsed="false">
      <c r="A43" s="155" t="s">
        <v>177</v>
      </c>
      <c r="B43" s="154"/>
      <c r="C43" s="154"/>
      <c r="D43" s="154"/>
      <c r="F43" s="155" t="s">
        <v>177</v>
      </c>
      <c r="G43" s="154"/>
      <c r="H43" s="154"/>
      <c r="I43" s="154"/>
    </row>
    <row r="44" customFormat="false" ht="15" hidden="false" customHeight="false" outlineLevel="0" collapsed="false">
      <c r="A44" s="162" t="s">
        <v>914</v>
      </c>
      <c r="B44" s="154"/>
      <c r="C44" s="154"/>
      <c r="D44" s="154"/>
      <c r="F44" s="162" t="s">
        <v>914</v>
      </c>
      <c r="G44" s="154"/>
      <c r="H44" s="154"/>
      <c r="I44" s="154"/>
    </row>
    <row r="46" customFormat="false" ht="15" hidden="false" customHeight="false" outlineLevel="0" collapsed="false">
      <c r="A46" s="148" t="s">
        <v>972</v>
      </c>
      <c r="B46" s="148"/>
      <c r="C46" s="148"/>
      <c r="D46" s="148"/>
      <c r="F46" s="148" t="s">
        <v>973</v>
      </c>
      <c r="G46" s="148"/>
      <c r="H46" s="148"/>
      <c r="I46" s="148"/>
    </row>
    <row r="47" customFormat="false" ht="15" hidden="false" customHeight="false" outlineLevel="0" collapsed="false">
      <c r="A47" s="151"/>
      <c r="B47" s="150" t="s">
        <v>112</v>
      </c>
      <c r="C47" s="150" t="s">
        <v>121</v>
      </c>
      <c r="D47" s="161" t="s">
        <v>914</v>
      </c>
      <c r="F47" s="151"/>
      <c r="G47" s="150" t="s">
        <v>112</v>
      </c>
      <c r="H47" s="150" t="s">
        <v>121</v>
      </c>
      <c r="I47" s="161" t="s">
        <v>914</v>
      </c>
    </row>
    <row r="48" customFormat="false" ht="15" hidden="false" customHeight="false" outlineLevel="0" collapsed="false">
      <c r="A48" s="155" t="s">
        <v>33</v>
      </c>
      <c r="B48" s="154"/>
      <c r="C48" s="154"/>
      <c r="D48" s="154"/>
      <c r="F48" s="155" t="s">
        <v>33</v>
      </c>
      <c r="G48" s="154"/>
      <c r="H48" s="154"/>
      <c r="I48" s="154"/>
    </row>
    <row r="49" customFormat="false" ht="15" hidden="false" customHeight="false" outlineLevel="0" collapsed="false">
      <c r="A49" s="155" t="s">
        <v>177</v>
      </c>
      <c r="B49" s="154"/>
      <c r="C49" s="154"/>
      <c r="D49" s="154"/>
      <c r="F49" s="155" t="s">
        <v>177</v>
      </c>
      <c r="G49" s="154"/>
      <c r="H49" s="154"/>
      <c r="I49" s="154"/>
    </row>
    <row r="50" customFormat="false" ht="15" hidden="false" customHeight="false" outlineLevel="0" collapsed="false">
      <c r="A50" s="162" t="s">
        <v>914</v>
      </c>
      <c r="B50" s="154"/>
      <c r="C50" s="154"/>
      <c r="D50" s="154"/>
      <c r="F50" s="162" t="s">
        <v>914</v>
      </c>
      <c r="G50" s="154"/>
      <c r="H50" s="154"/>
      <c r="I50" s="154"/>
    </row>
    <row r="53" customFormat="false" ht="15" hidden="false" customHeight="false" outlineLevel="0" collapsed="false">
      <c r="A53" s="147" t="s">
        <v>974</v>
      </c>
      <c r="B53" s="147"/>
      <c r="C53" s="147"/>
      <c r="D53" s="147"/>
      <c r="E53" s="147"/>
      <c r="F53" s="147"/>
      <c r="G53" s="147"/>
      <c r="H53" s="147"/>
      <c r="I53" s="147"/>
    </row>
    <row r="55" customFormat="false" ht="15" hidden="false" customHeight="false" outlineLevel="0" collapsed="false">
      <c r="A55" s="148" t="s">
        <v>975</v>
      </c>
      <c r="B55" s="148"/>
      <c r="C55" s="148"/>
      <c r="D55" s="148"/>
      <c r="F55" s="148" t="s">
        <v>976</v>
      </c>
      <c r="G55" s="148"/>
      <c r="H55" s="148"/>
      <c r="I55" s="148"/>
    </row>
    <row r="56" customFormat="false" ht="15" hidden="false" customHeight="false" outlineLevel="0" collapsed="false">
      <c r="A56" s="151"/>
      <c r="B56" s="150" t="s">
        <v>112</v>
      </c>
      <c r="C56" s="150" t="s">
        <v>121</v>
      </c>
      <c r="D56" s="161" t="s">
        <v>914</v>
      </c>
      <c r="F56" s="151"/>
      <c r="G56" s="150" t="s">
        <v>112</v>
      </c>
      <c r="H56" s="150" t="s">
        <v>121</v>
      </c>
      <c r="I56" s="161" t="s">
        <v>914</v>
      </c>
    </row>
    <row r="57" customFormat="false" ht="15" hidden="false" customHeight="false" outlineLevel="0" collapsed="false">
      <c r="A57" s="155" t="s">
        <v>33</v>
      </c>
      <c r="B57" s="154"/>
      <c r="C57" s="154"/>
      <c r="D57" s="154"/>
      <c r="F57" s="155" t="s">
        <v>33</v>
      </c>
      <c r="G57" s="154"/>
      <c r="H57" s="154"/>
      <c r="I57" s="154"/>
    </row>
    <row r="58" customFormat="false" ht="15" hidden="false" customHeight="false" outlineLevel="0" collapsed="false">
      <c r="A58" s="155" t="s">
        <v>177</v>
      </c>
      <c r="B58" s="154"/>
      <c r="C58" s="154"/>
      <c r="D58" s="154"/>
      <c r="F58" s="155" t="s">
        <v>177</v>
      </c>
      <c r="G58" s="154"/>
      <c r="H58" s="154"/>
      <c r="I58" s="154"/>
    </row>
    <row r="59" customFormat="false" ht="15" hidden="false" customHeight="false" outlineLevel="0" collapsed="false">
      <c r="A59" s="162" t="s">
        <v>914</v>
      </c>
      <c r="B59" s="154"/>
      <c r="C59" s="154"/>
      <c r="D59" s="154"/>
      <c r="F59" s="162" t="s">
        <v>914</v>
      </c>
      <c r="G59" s="154"/>
      <c r="H59" s="154"/>
      <c r="I59" s="154"/>
    </row>
    <row r="61" customFormat="false" ht="15" hidden="false" customHeight="false" outlineLevel="0" collapsed="false">
      <c r="A61" s="148" t="s">
        <v>977</v>
      </c>
      <c r="B61" s="148"/>
      <c r="C61" s="148"/>
      <c r="D61" s="148"/>
      <c r="F61" s="148" t="s">
        <v>978</v>
      </c>
      <c r="G61" s="148"/>
      <c r="H61" s="148"/>
      <c r="I61" s="148"/>
    </row>
    <row r="62" customFormat="false" ht="15" hidden="false" customHeight="false" outlineLevel="0" collapsed="false">
      <c r="A62" s="151"/>
      <c r="B62" s="150" t="s">
        <v>112</v>
      </c>
      <c r="C62" s="150" t="s">
        <v>121</v>
      </c>
      <c r="D62" s="161" t="s">
        <v>914</v>
      </c>
      <c r="F62" s="151"/>
      <c r="G62" s="150" t="s">
        <v>112</v>
      </c>
      <c r="H62" s="150" t="s">
        <v>121</v>
      </c>
      <c r="I62" s="161" t="s">
        <v>914</v>
      </c>
    </row>
    <row r="63" customFormat="false" ht="15" hidden="false" customHeight="false" outlineLevel="0" collapsed="false">
      <c r="A63" s="155" t="s">
        <v>33</v>
      </c>
      <c r="B63" s="154"/>
      <c r="C63" s="154"/>
      <c r="D63" s="154"/>
      <c r="F63" s="155" t="s">
        <v>33</v>
      </c>
      <c r="G63" s="154"/>
      <c r="H63" s="154"/>
      <c r="I63" s="154"/>
    </row>
    <row r="64" customFormat="false" ht="15" hidden="false" customHeight="false" outlineLevel="0" collapsed="false">
      <c r="A64" s="155" t="s">
        <v>177</v>
      </c>
      <c r="B64" s="154"/>
      <c r="C64" s="154"/>
      <c r="D64" s="154"/>
      <c r="F64" s="155" t="s">
        <v>177</v>
      </c>
      <c r="G64" s="154"/>
      <c r="H64" s="154"/>
      <c r="I64" s="154"/>
    </row>
    <row r="65" customFormat="false" ht="15" hidden="false" customHeight="false" outlineLevel="0" collapsed="false">
      <c r="A65" s="162" t="s">
        <v>914</v>
      </c>
      <c r="B65" s="154"/>
      <c r="C65" s="154"/>
      <c r="D65" s="154"/>
      <c r="F65" s="162" t="s">
        <v>914</v>
      </c>
      <c r="G65" s="154"/>
      <c r="H65" s="154"/>
      <c r="I65" s="154"/>
    </row>
    <row r="68" customFormat="false" ht="15" hidden="false" customHeight="false" outlineLevel="0" collapsed="false">
      <c r="A68" s="147" t="s">
        <v>979</v>
      </c>
      <c r="B68" s="147"/>
      <c r="C68" s="147"/>
      <c r="D68" s="147"/>
      <c r="E68" s="147"/>
      <c r="F68" s="147"/>
      <c r="G68" s="147"/>
      <c r="H68" s="147"/>
      <c r="I68" s="147"/>
    </row>
    <row r="70" customFormat="false" ht="15" hidden="false" customHeight="false" outlineLevel="0" collapsed="false">
      <c r="A70" s="148" t="s">
        <v>980</v>
      </c>
      <c r="B70" s="148"/>
      <c r="C70" s="148"/>
      <c r="D70" s="148"/>
      <c r="F70" s="148" t="s">
        <v>981</v>
      </c>
      <c r="G70" s="148"/>
      <c r="H70" s="148"/>
      <c r="I70" s="148"/>
    </row>
    <row r="71" customFormat="false" ht="15" hidden="false" customHeight="false" outlineLevel="0" collapsed="false">
      <c r="A71" s="151"/>
      <c r="B71" s="150" t="s">
        <v>112</v>
      </c>
      <c r="C71" s="150" t="s">
        <v>121</v>
      </c>
      <c r="D71" s="161" t="s">
        <v>914</v>
      </c>
      <c r="F71" s="151"/>
      <c r="G71" s="150" t="s">
        <v>112</v>
      </c>
      <c r="H71" s="150" t="s">
        <v>121</v>
      </c>
      <c r="I71" s="161" t="s">
        <v>914</v>
      </c>
    </row>
    <row r="72" customFormat="false" ht="15" hidden="false" customHeight="false" outlineLevel="0" collapsed="false">
      <c r="A72" s="155" t="s">
        <v>33</v>
      </c>
      <c r="B72" s="154"/>
      <c r="C72" s="154"/>
      <c r="D72" s="154"/>
      <c r="F72" s="155" t="s">
        <v>33</v>
      </c>
      <c r="G72" s="154"/>
      <c r="H72" s="154"/>
      <c r="I72" s="154"/>
    </row>
    <row r="73" customFormat="false" ht="15" hidden="false" customHeight="false" outlineLevel="0" collapsed="false">
      <c r="A73" s="155" t="s">
        <v>177</v>
      </c>
      <c r="B73" s="154"/>
      <c r="C73" s="154"/>
      <c r="D73" s="154"/>
      <c r="F73" s="155" t="s">
        <v>177</v>
      </c>
      <c r="G73" s="154"/>
      <c r="H73" s="154"/>
      <c r="I73" s="154"/>
    </row>
    <row r="74" customFormat="false" ht="15" hidden="false" customHeight="false" outlineLevel="0" collapsed="false">
      <c r="A74" s="162" t="s">
        <v>914</v>
      </c>
      <c r="B74" s="154"/>
      <c r="C74" s="154"/>
      <c r="D74" s="154"/>
      <c r="F74" s="162" t="s">
        <v>914</v>
      </c>
      <c r="G74" s="154"/>
      <c r="H74" s="154"/>
      <c r="I74" s="154"/>
    </row>
    <row r="76" customFormat="false" ht="15" hidden="false" customHeight="false" outlineLevel="0" collapsed="false">
      <c r="A76" s="148" t="s">
        <v>982</v>
      </c>
      <c r="B76" s="148"/>
      <c r="C76" s="148"/>
      <c r="D76" s="148"/>
      <c r="F76" s="148" t="s">
        <v>983</v>
      </c>
      <c r="G76" s="148"/>
      <c r="H76" s="148"/>
      <c r="I76" s="148"/>
    </row>
    <row r="77" customFormat="false" ht="15" hidden="false" customHeight="false" outlineLevel="0" collapsed="false">
      <c r="A77" s="151"/>
      <c r="B77" s="150" t="s">
        <v>112</v>
      </c>
      <c r="C77" s="150" t="s">
        <v>121</v>
      </c>
      <c r="D77" s="161" t="s">
        <v>914</v>
      </c>
      <c r="F77" s="151"/>
      <c r="G77" s="150" t="s">
        <v>112</v>
      </c>
      <c r="H77" s="150" t="s">
        <v>121</v>
      </c>
      <c r="I77" s="161" t="s">
        <v>914</v>
      </c>
    </row>
    <row r="78" customFormat="false" ht="15" hidden="false" customHeight="false" outlineLevel="0" collapsed="false">
      <c r="A78" s="155" t="s">
        <v>33</v>
      </c>
      <c r="B78" s="154"/>
      <c r="C78" s="154"/>
      <c r="D78" s="154"/>
      <c r="F78" s="155" t="s">
        <v>33</v>
      </c>
      <c r="G78" s="154"/>
      <c r="H78" s="154"/>
      <c r="I78" s="154"/>
    </row>
    <row r="79" customFormat="false" ht="15" hidden="false" customHeight="false" outlineLevel="0" collapsed="false">
      <c r="A79" s="155" t="s">
        <v>177</v>
      </c>
      <c r="B79" s="154"/>
      <c r="C79" s="154"/>
      <c r="D79" s="154"/>
      <c r="F79" s="155" t="s">
        <v>177</v>
      </c>
      <c r="G79" s="154"/>
      <c r="H79" s="154"/>
      <c r="I79" s="154"/>
    </row>
    <row r="80" customFormat="false" ht="15" hidden="false" customHeight="false" outlineLevel="0" collapsed="false">
      <c r="A80" s="162" t="s">
        <v>914</v>
      </c>
      <c r="B80" s="154"/>
      <c r="C80" s="154"/>
      <c r="D80" s="154"/>
      <c r="F80" s="162" t="s">
        <v>914</v>
      </c>
      <c r="G80" s="154"/>
      <c r="H80" s="154"/>
      <c r="I80" s="154"/>
    </row>
    <row r="83" customFormat="false" ht="15" hidden="false" customHeight="false" outlineLevel="0" collapsed="false">
      <c r="A83" s="147" t="s">
        <v>984</v>
      </c>
      <c r="B83" s="147"/>
      <c r="C83" s="147"/>
      <c r="D83" s="147"/>
      <c r="E83" s="147"/>
      <c r="F83" s="147"/>
      <c r="G83" s="147"/>
      <c r="H83" s="147"/>
      <c r="I83" s="147"/>
    </row>
    <row r="85" customFormat="false" ht="15" hidden="false" customHeight="false" outlineLevel="0" collapsed="false">
      <c r="A85" s="148" t="s">
        <v>985</v>
      </c>
      <c r="B85" s="148"/>
      <c r="C85" s="148"/>
      <c r="D85" s="148"/>
      <c r="F85" s="148" t="s">
        <v>986</v>
      </c>
      <c r="G85" s="148"/>
      <c r="H85" s="148"/>
      <c r="I85" s="148"/>
    </row>
    <row r="86" customFormat="false" ht="15" hidden="false" customHeight="false" outlineLevel="0" collapsed="false">
      <c r="A86" s="151"/>
      <c r="B86" s="150" t="s">
        <v>112</v>
      </c>
      <c r="C86" s="150" t="s">
        <v>121</v>
      </c>
      <c r="D86" s="161" t="s">
        <v>914</v>
      </c>
      <c r="F86" s="151"/>
      <c r="G86" s="150" t="s">
        <v>112</v>
      </c>
      <c r="H86" s="150" t="s">
        <v>121</v>
      </c>
      <c r="I86" s="161" t="s">
        <v>914</v>
      </c>
    </row>
    <row r="87" customFormat="false" ht="15" hidden="false" customHeight="false" outlineLevel="0" collapsed="false">
      <c r="A87" s="155" t="s">
        <v>33</v>
      </c>
      <c r="B87" s="154"/>
      <c r="C87" s="154"/>
      <c r="D87" s="154"/>
      <c r="F87" s="155" t="s">
        <v>33</v>
      </c>
      <c r="G87" s="154"/>
      <c r="H87" s="154"/>
      <c r="I87" s="154"/>
    </row>
    <row r="88" customFormat="false" ht="15" hidden="false" customHeight="false" outlineLevel="0" collapsed="false">
      <c r="A88" s="155" t="s">
        <v>177</v>
      </c>
      <c r="B88" s="154"/>
      <c r="C88" s="154"/>
      <c r="D88" s="154"/>
      <c r="F88" s="155" t="s">
        <v>177</v>
      </c>
      <c r="G88" s="154"/>
      <c r="H88" s="154"/>
      <c r="I88" s="154"/>
    </row>
    <row r="89" customFormat="false" ht="15" hidden="false" customHeight="false" outlineLevel="0" collapsed="false">
      <c r="A89" s="162" t="s">
        <v>914</v>
      </c>
      <c r="B89" s="154"/>
      <c r="C89" s="154"/>
      <c r="D89" s="154"/>
      <c r="F89" s="162" t="s">
        <v>914</v>
      </c>
      <c r="G89" s="154"/>
      <c r="H89" s="154"/>
      <c r="I89" s="154"/>
    </row>
    <row r="91" customFormat="false" ht="15" hidden="false" customHeight="false" outlineLevel="0" collapsed="false">
      <c r="A91" s="148" t="s">
        <v>987</v>
      </c>
      <c r="B91" s="148"/>
      <c r="C91" s="148"/>
      <c r="D91" s="148"/>
      <c r="F91" s="148" t="s">
        <v>988</v>
      </c>
      <c r="G91" s="148"/>
      <c r="H91" s="148"/>
      <c r="I91" s="148"/>
    </row>
    <row r="92" customFormat="false" ht="15" hidden="false" customHeight="false" outlineLevel="0" collapsed="false">
      <c r="A92" s="151"/>
      <c r="B92" s="150" t="s">
        <v>112</v>
      </c>
      <c r="C92" s="150" t="s">
        <v>121</v>
      </c>
      <c r="D92" s="161" t="s">
        <v>914</v>
      </c>
      <c r="F92" s="151"/>
      <c r="G92" s="150" t="s">
        <v>112</v>
      </c>
      <c r="H92" s="150" t="s">
        <v>121</v>
      </c>
      <c r="I92" s="161" t="s">
        <v>914</v>
      </c>
    </row>
    <row r="93" customFormat="false" ht="15" hidden="false" customHeight="false" outlineLevel="0" collapsed="false">
      <c r="A93" s="155" t="s">
        <v>33</v>
      </c>
      <c r="B93" s="154"/>
      <c r="C93" s="154"/>
      <c r="D93" s="154"/>
      <c r="F93" s="155" t="s">
        <v>33</v>
      </c>
      <c r="G93" s="154"/>
      <c r="H93" s="154"/>
      <c r="I93" s="154"/>
    </row>
    <row r="94" customFormat="false" ht="15" hidden="false" customHeight="false" outlineLevel="0" collapsed="false">
      <c r="A94" s="155" t="s">
        <v>177</v>
      </c>
      <c r="B94" s="154"/>
      <c r="C94" s="154"/>
      <c r="D94" s="154"/>
      <c r="F94" s="155" t="s">
        <v>177</v>
      </c>
      <c r="G94" s="154"/>
      <c r="H94" s="154"/>
      <c r="I94" s="154"/>
    </row>
    <row r="95" customFormat="false" ht="15" hidden="false" customHeight="false" outlineLevel="0" collapsed="false">
      <c r="A95" s="162" t="s">
        <v>914</v>
      </c>
      <c r="B95" s="154"/>
      <c r="C95" s="154"/>
      <c r="D95" s="154"/>
      <c r="F95" s="162" t="s">
        <v>914</v>
      </c>
      <c r="G95" s="154"/>
      <c r="H95" s="154"/>
      <c r="I95" s="154"/>
    </row>
    <row r="98" customFormat="false" ht="15" hidden="false" customHeight="false" outlineLevel="0" collapsed="false">
      <c r="A98" s="147" t="s">
        <v>989</v>
      </c>
      <c r="B98" s="147"/>
      <c r="C98" s="147"/>
      <c r="D98" s="147"/>
      <c r="E98" s="147"/>
      <c r="F98" s="147"/>
      <c r="G98" s="147"/>
      <c r="H98" s="147"/>
      <c r="I98" s="147"/>
    </row>
    <row r="100" customFormat="false" ht="15" hidden="false" customHeight="false" outlineLevel="0" collapsed="false">
      <c r="A100" s="148" t="s">
        <v>990</v>
      </c>
      <c r="B100" s="148"/>
      <c r="C100" s="148"/>
      <c r="D100" s="148"/>
      <c r="F100" s="148" t="s">
        <v>991</v>
      </c>
      <c r="G100" s="148"/>
      <c r="H100" s="148"/>
      <c r="I100" s="148"/>
    </row>
    <row r="101" customFormat="false" ht="15" hidden="false" customHeight="false" outlineLevel="0" collapsed="false">
      <c r="A101" s="151"/>
      <c r="B101" s="150" t="s">
        <v>112</v>
      </c>
      <c r="C101" s="150" t="s">
        <v>121</v>
      </c>
      <c r="D101" s="161" t="s">
        <v>914</v>
      </c>
      <c r="F101" s="151"/>
      <c r="G101" s="150" t="s">
        <v>112</v>
      </c>
      <c r="H101" s="150" t="s">
        <v>121</v>
      </c>
      <c r="I101" s="161" t="s">
        <v>914</v>
      </c>
    </row>
    <row r="102" customFormat="false" ht="15" hidden="false" customHeight="false" outlineLevel="0" collapsed="false">
      <c r="A102" s="155" t="s">
        <v>33</v>
      </c>
      <c r="B102" s="154"/>
      <c r="C102" s="154"/>
      <c r="D102" s="154"/>
      <c r="F102" s="155" t="s">
        <v>33</v>
      </c>
      <c r="G102" s="154"/>
      <c r="H102" s="154"/>
      <c r="I102" s="154"/>
    </row>
    <row r="103" customFormat="false" ht="15" hidden="false" customHeight="false" outlineLevel="0" collapsed="false">
      <c r="A103" s="155" t="s">
        <v>177</v>
      </c>
      <c r="B103" s="154"/>
      <c r="C103" s="154"/>
      <c r="D103" s="154"/>
      <c r="F103" s="155" t="s">
        <v>177</v>
      </c>
      <c r="G103" s="154"/>
      <c r="H103" s="154"/>
      <c r="I103" s="154"/>
    </row>
    <row r="104" customFormat="false" ht="15" hidden="false" customHeight="false" outlineLevel="0" collapsed="false">
      <c r="A104" s="162" t="s">
        <v>914</v>
      </c>
      <c r="B104" s="154"/>
      <c r="C104" s="154"/>
      <c r="D104" s="154"/>
      <c r="F104" s="162" t="s">
        <v>914</v>
      </c>
      <c r="G104" s="154"/>
      <c r="H104" s="154"/>
      <c r="I104" s="154"/>
    </row>
    <row r="106" customFormat="false" ht="15" hidden="false" customHeight="false" outlineLevel="0" collapsed="false">
      <c r="A106" s="148" t="s">
        <v>992</v>
      </c>
      <c r="B106" s="148"/>
      <c r="C106" s="148"/>
      <c r="D106" s="148"/>
      <c r="F106" s="148" t="s">
        <v>993</v>
      </c>
      <c r="G106" s="148"/>
      <c r="H106" s="148"/>
      <c r="I106" s="148"/>
    </row>
    <row r="107" customFormat="false" ht="15" hidden="false" customHeight="false" outlineLevel="0" collapsed="false">
      <c r="A107" s="151"/>
      <c r="B107" s="150" t="s">
        <v>112</v>
      </c>
      <c r="C107" s="150" t="s">
        <v>121</v>
      </c>
      <c r="D107" s="161" t="s">
        <v>914</v>
      </c>
      <c r="F107" s="151"/>
      <c r="G107" s="150" t="s">
        <v>112</v>
      </c>
      <c r="H107" s="150" t="s">
        <v>121</v>
      </c>
      <c r="I107" s="161" t="s">
        <v>914</v>
      </c>
    </row>
    <row r="108" customFormat="false" ht="15" hidden="false" customHeight="false" outlineLevel="0" collapsed="false">
      <c r="A108" s="155" t="s">
        <v>33</v>
      </c>
      <c r="B108" s="154"/>
      <c r="C108" s="154"/>
      <c r="D108" s="154"/>
      <c r="F108" s="155" t="s">
        <v>33</v>
      </c>
      <c r="G108" s="154"/>
      <c r="H108" s="154"/>
      <c r="I108" s="154"/>
    </row>
    <row r="109" customFormat="false" ht="15" hidden="false" customHeight="false" outlineLevel="0" collapsed="false">
      <c r="A109" s="155" t="s">
        <v>177</v>
      </c>
      <c r="B109" s="154"/>
      <c r="C109" s="154"/>
      <c r="D109" s="154"/>
      <c r="F109" s="155" t="s">
        <v>177</v>
      </c>
      <c r="G109" s="154"/>
      <c r="H109" s="154"/>
      <c r="I109" s="154"/>
    </row>
    <row r="110" customFormat="false" ht="15" hidden="false" customHeight="false" outlineLevel="0" collapsed="false">
      <c r="A110" s="162" t="s">
        <v>914</v>
      </c>
      <c r="B110" s="154"/>
      <c r="C110" s="154"/>
      <c r="D110" s="154"/>
      <c r="F110" s="162" t="s">
        <v>914</v>
      </c>
      <c r="G110" s="154"/>
      <c r="H110" s="154"/>
      <c r="I110" s="154"/>
    </row>
  </sheetData>
  <mergeCells count="37">
    <mergeCell ref="C1:E3"/>
    <mergeCell ref="C4:E5"/>
    <mergeCell ref="A8:C8"/>
    <mergeCell ref="A10:D10"/>
    <mergeCell ref="F10:I10"/>
    <mergeCell ref="A16:D16"/>
    <mergeCell ref="F16:I16"/>
    <mergeCell ref="A23:I23"/>
    <mergeCell ref="A25:D25"/>
    <mergeCell ref="F25:I25"/>
    <mergeCell ref="A31:D31"/>
    <mergeCell ref="F31:I31"/>
    <mergeCell ref="A38:I38"/>
    <mergeCell ref="A40:D40"/>
    <mergeCell ref="F40:I40"/>
    <mergeCell ref="A46:D46"/>
    <mergeCell ref="F46:I46"/>
    <mergeCell ref="A53:I53"/>
    <mergeCell ref="A55:D55"/>
    <mergeCell ref="F55:I55"/>
    <mergeCell ref="A61:D61"/>
    <mergeCell ref="F61:I61"/>
    <mergeCell ref="A68:I68"/>
    <mergeCell ref="A70:D70"/>
    <mergeCell ref="F70:I70"/>
    <mergeCell ref="A76:D76"/>
    <mergeCell ref="F76:I76"/>
    <mergeCell ref="A83:I83"/>
    <mergeCell ref="A85:D85"/>
    <mergeCell ref="F85:I85"/>
    <mergeCell ref="A91:D91"/>
    <mergeCell ref="F91:I91"/>
    <mergeCell ref="A98:I98"/>
    <mergeCell ref="A100:D100"/>
    <mergeCell ref="F100:I100"/>
    <mergeCell ref="A106:D106"/>
    <mergeCell ref="F106:I10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269"/>
  <sheetViews>
    <sheetView showFormulas="false" showGridLines="true" showRowColHeaders="true" showZeros="true" rightToLeft="false" tabSelected="false" showOutlineSymbols="true" defaultGridColor="true" view="normal" topLeftCell="A1" colorId="64" zoomScale="197" zoomScaleNormal="197" zoomScalePageLayoutView="100" workbookViewId="0">
      <selection pane="topLeft" activeCell="A1" activeCellId="0" sqref="A1"/>
    </sheetView>
  </sheetViews>
  <sheetFormatPr defaultColWidth="8.60546875" defaultRowHeight="15" customHeight="false" zeroHeight="false" outlineLevelRow="0" outlineLevelCol="0"/>
  <cols>
    <col collapsed="false" customWidth="true" hidden="false" outlineLevel="0" max="2" min="1" style="0" width="5.71"/>
    <col collapsed="false" customWidth="true" hidden="false" outlineLevel="0" max="21" min="3" style="0" width="6.71"/>
    <col collapsed="false" customWidth="true" hidden="false" outlineLevel="0" max="24" min="24" style="0" width="5.71"/>
    <col collapsed="false" customWidth="true" hidden="false" outlineLevel="0" max="26" min="25" style="0" width="25.71"/>
    <col collapsed="false" customWidth="true" hidden="false" outlineLevel="0" max="27" min="27" style="0" width="10.71"/>
    <col collapsed="false" customWidth="true" hidden="false" outlineLevel="0" max="28" min="28" style="0" width="15.71"/>
  </cols>
  <sheetData>
    <row r="1" customFormat="false" ht="19.5" hidden="false" customHeight="true" outlineLevel="0" collapsed="false">
      <c r="A1" s="1"/>
      <c r="B1" s="1"/>
      <c r="C1" s="2" t="s">
        <v>994</v>
      </c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customFormat="false" ht="19.5" hidden="false" customHeight="true" outlineLevel="0" collapsed="false">
      <c r="A2" s="1"/>
      <c r="B2" s="1"/>
      <c r="C2" s="2"/>
      <c r="D2" s="2"/>
      <c r="E2" s="2"/>
      <c r="F2" s="3"/>
      <c r="G2" s="4" t="s">
        <v>1</v>
      </c>
      <c r="H2" s="5" t="s">
        <v>2</v>
      </c>
      <c r="I2" s="3"/>
      <c r="J2" s="3"/>
      <c r="K2" s="3"/>
      <c r="L2" s="3"/>
      <c r="M2" s="3"/>
      <c r="N2" s="3"/>
      <c r="O2" s="3"/>
      <c r="P2" s="3"/>
      <c r="Q2" s="3"/>
      <c r="R2" s="3"/>
    </row>
    <row r="3" customFormat="false" ht="19.5" hidden="false" customHeight="true" outlineLevel="0" collapsed="false">
      <c r="A3" s="1"/>
      <c r="B3" s="1"/>
      <c r="C3" s="2"/>
      <c r="D3" s="2"/>
      <c r="E3" s="2"/>
      <c r="F3" s="3"/>
      <c r="G3" s="4" t="s">
        <v>3</v>
      </c>
      <c r="H3" s="5" t="s">
        <v>4</v>
      </c>
      <c r="I3" s="3"/>
      <c r="J3" s="3"/>
      <c r="K3" s="4" t="s">
        <v>5</v>
      </c>
      <c r="L3" s="6" t="s">
        <v>6</v>
      </c>
      <c r="M3" s="3"/>
      <c r="N3" s="3"/>
      <c r="O3" s="3"/>
      <c r="P3" s="3"/>
      <c r="Q3" s="3"/>
      <c r="R3" s="3"/>
    </row>
    <row r="4" customFormat="false" ht="19.5" hidden="false" customHeight="true" outlineLevel="0" collapsed="false">
      <c r="A4" s="1"/>
      <c r="B4" s="1"/>
      <c r="C4" s="7" t="s">
        <v>7</v>
      </c>
      <c r="D4" s="7"/>
      <c r="E4" s="7"/>
      <c r="F4" s="3"/>
      <c r="G4" s="4" t="s">
        <v>8</v>
      </c>
      <c r="H4" s="5" t="s">
        <v>9</v>
      </c>
      <c r="I4" s="3"/>
      <c r="J4" s="3"/>
      <c r="K4" s="4" t="s">
        <v>10</v>
      </c>
      <c r="L4" s="6" t="s">
        <v>11</v>
      </c>
      <c r="M4" s="3"/>
      <c r="N4" s="3"/>
      <c r="O4" s="3"/>
      <c r="P4" s="3"/>
      <c r="Q4" s="3"/>
      <c r="R4" s="3"/>
    </row>
    <row r="5" customFormat="false" ht="19.5" hidden="false" customHeight="true" outlineLevel="0" collapsed="false">
      <c r="A5" s="8"/>
      <c r="B5" s="8"/>
      <c r="C5" s="7"/>
      <c r="D5" s="7"/>
      <c r="E5" s="7"/>
      <c r="F5" s="9"/>
      <c r="G5" s="10" t="s">
        <v>12</v>
      </c>
      <c r="H5" s="11" t="s">
        <v>13</v>
      </c>
      <c r="I5" s="9"/>
      <c r="J5" s="9"/>
      <c r="K5" s="10" t="s">
        <v>14</v>
      </c>
      <c r="L5" s="12" t="s">
        <v>15</v>
      </c>
      <c r="M5" s="9"/>
      <c r="N5" s="9"/>
      <c r="O5" s="9"/>
      <c r="P5" s="9"/>
      <c r="Q5" s="9"/>
      <c r="R5" s="9"/>
    </row>
    <row r="8" customFormat="false" ht="15" hidden="false" customHeight="false" outlineLevel="0" collapsed="false">
      <c r="A8" s="163" t="s">
        <v>995</v>
      </c>
      <c r="B8" s="163"/>
      <c r="C8" s="163"/>
      <c r="D8" s="163"/>
      <c r="E8" s="163"/>
      <c r="F8" s="163"/>
      <c r="G8" s="163"/>
      <c r="H8" s="163"/>
      <c r="I8" s="163"/>
      <c r="J8" s="163"/>
      <c r="K8" s="163"/>
      <c r="L8" s="163"/>
      <c r="M8" s="163"/>
      <c r="N8" s="163"/>
      <c r="O8" s="163"/>
      <c r="P8" s="163"/>
      <c r="Q8" s="163"/>
      <c r="R8" s="163"/>
      <c r="S8" s="163"/>
      <c r="T8" s="163"/>
      <c r="U8" s="163"/>
      <c r="X8" s="163" t="s">
        <v>996</v>
      </c>
      <c r="Y8" s="163"/>
    </row>
    <row r="9" customFormat="false" ht="15" hidden="false" customHeight="false" outlineLevel="0" collapsed="false">
      <c r="A9" s="164"/>
      <c r="B9" s="164"/>
      <c r="C9" s="164" t="s">
        <v>33</v>
      </c>
      <c r="D9" s="164" t="s">
        <v>96</v>
      </c>
      <c r="E9" s="164" t="s">
        <v>34</v>
      </c>
      <c r="F9" s="164" t="s">
        <v>97</v>
      </c>
      <c r="G9" s="164" t="s">
        <v>98</v>
      </c>
      <c r="H9" s="164" t="s">
        <v>99</v>
      </c>
      <c r="I9" s="164" t="s">
        <v>133</v>
      </c>
      <c r="J9" s="164" t="s">
        <v>136</v>
      </c>
      <c r="K9" s="164" t="s">
        <v>139</v>
      </c>
      <c r="L9" s="164" t="s">
        <v>639</v>
      </c>
      <c r="M9" s="164" t="s">
        <v>643</v>
      </c>
      <c r="N9" s="164" t="s">
        <v>647</v>
      </c>
      <c r="O9" s="164" t="s">
        <v>154</v>
      </c>
      <c r="P9" s="164" t="s">
        <v>157</v>
      </c>
      <c r="Q9" s="164" t="s">
        <v>641</v>
      </c>
      <c r="R9" s="164" t="s">
        <v>645</v>
      </c>
      <c r="S9" s="164" t="s">
        <v>100</v>
      </c>
      <c r="T9" s="164" t="s">
        <v>102</v>
      </c>
      <c r="U9" s="164" t="s">
        <v>104</v>
      </c>
      <c r="X9" s="164" t="s">
        <v>33</v>
      </c>
      <c r="Y9" s="55" t="s">
        <v>799</v>
      </c>
    </row>
    <row r="10" customFormat="false" ht="15" hidden="false" customHeight="false" outlineLevel="0" collapsed="false">
      <c r="A10" s="165" t="s">
        <v>65</v>
      </c>
      <c r="B10" s="164" t="s">
        <v>113</v>
      </c>
      <c r="C10" s="166"/>
      <c r="D10" s="166"/>
      <c r="E10" s="166"/>
      <c r="F10" s="166"/>
      <c r="G10" s="166"/>
      <c r="H10" s="166"/>
      <c r="I10" s="166"/>
      <c r="J10" s="166"/>
      <c r="K10" s="166"/>
      <c r="L10" s="166"/>
      <c r="M10" s="166"/>
      <c r="N10" s="166"/>
      <c r="O10" s="166"/>
      <c r="P10" s="166"/>
      <c r="Q10" s="166"/>
      <c r="R10" s="166"/>
      <c r="S10" s="166"/>
      <c r="T10" s="166"/>
      <c r="U10" s="166"/>
      <c r="X10" s="164" t="s">
        <v>96</v>
      </c>
      <c r="Y10" s="55" t="s">
        <v>997</v>
      </c>
    </row>
    <row r="11" customFormat="false" ht="15" hidden="false" customHeight="false" outlineLevel="0" collapsed="false">
      <c r="A11" s="165"/>
      <c r="B11" s="167" t="s">
        <v>998</v>
      </c>
      <c r="C11" s="168"/>
      <c r="D11" s="168"/>
      <c r="E11" s="168"/>
      <c r="F11" s="168"/>
      <c r="G11" s="168"/>
      <c r="H11" s="168"/>
      <c r="I11" s="168"/>
      <c r="J11" s="168"/>
      <c r="K11" s="168"/>
      <c r="L11" s="168"/>
      <c r="M11" s="168"/>
      <c r="N11" s="168"/>
      <c r="O11" s="168"/>
      <c r="P11" s="168"/>
      <c r="Q11" s="168"/>
      <c r="R11" s="168"/>
      <c r="S11" s="168"/>
      <c r="T11" s="168"/>
      <c r="U11" s="168"/>
      <c r="X11" s="164" t="s">
        <v>34</v>
      </c>
      <c r="Y11" s="55" t="s">
        <v>999</v>
      </c>
    </row>
    <row r="12" customFormat="false" ht="15" hidden="false" customHeight="false" outlineLevel="0" collapsed="false">
      <c r="A12" s="165" t="s">
        <v>71</v>
      </c>
      <c r="B12" s="164" t="s">
        <v>113</v>
      </c>
      <c r="C12" s="166"/>
      <c r="D12" s="166"/>
      <c r="E12" s="166"/>
      <c r="F12" s="166"/>
      <c r="G12" s="166"/>
      <c r="H12" s="166"/>
      <c r="I12" s="166"/>
      <c r="J12" s="166"/>
      <c r="K12" s="166"/>
      <c r="L12" s="166"/>
      <c r="M12" s="166"/>
      <c r="N12" s="166"/>
      <c r="O12" s="166"/>
      <c r="P12" s="166"/>
      <c r="Q12" s="166"/>
      <c r="R12" s="166"/>
      <c r="S12" s="166"/>
      <c r="T12" s="166"/>
      <c r="U12" s="166"/>
      <c r="X12" s="164" t="s">
        <v>97</v>
      </c>
      <c r="Y12" s="55" t="s">
        <v>1000</v>
      </c>
    </row>
    <row r="13" customFormat="false" ht="15" hidden="false" customHeight="false" outlineLevel="0" collapsed="false">
      <c r="A13" s="165"/>
      <c r="B13" s="167" t="s">
        <v>998</v>
      </c>
      <c r="C13" s="168"/>
      <c r="D13" s="168"/>
      <c r="E13" s="168"/>
      <c r="F13" s="168"/>
      <c r="G13" s="168"/>
      <c r="H13" s="168"/>
      <c r="I13" s="168"/>
      <c r="J13" s="168"/>
      <c r="K13" s="168"/>
      <c r="L13" s="168"/>
      <c r="M13" s="168"/>
      <c r="N13" s="168"/>
      <c r="O13" s="168"/>
      <c r="P13" s="168"/>
      <c r="Q13" s="168"/>
      <c r="R13" s="168"/>
      <c r="S13" s="168"/>
      <c r="T13" s="168"/>
      <c r="U13" s="168"/>
      <c r="X13" s="164" t="s">
        <v>98</v>
      </c>
      <c r="Y13" s="55" t="s">
        <v>1001</v>
      </c>
    </row>
    <row r="14" customFormat="false" ht="15" hidden="false" customHeight="false" outlineLevel="0" collapsed="false">
      <c r="A14" s="165" t="s">
        <v>74</v>
      </c>
      <c r="B14" s="164" t="s">
        <v>113</v>
      </c>
      <c r="C14" s="166"/>
      <c r="D14" s="166"/>
      <c r="E14" s="166"/>
      <c r="F14" s="166"/>
      <c r="G14" s="166"/>
      <c r="H14" s="166"/>
      <c r="I14" s="166"/>
      <c r="J14" s="166"/>
      <c r="K14" s="166"/>
      <c r="L14" s="166"/>
      <c r="M14" s="166"/>
      <c r="N14" s="166"/>
      <c r="O14" s="166"/>
      <c r="P14" s="166"/>
      <c r="Q14" s="166"/>
      <c r="R14" s="166"/>
      <c r="S14" s="166"/>
      <c r="T14" s="166"/>
      <c r="U14" s="166"/>
      <c r="X14" s="164" t="s">
        <v>99</v>
      </c>
      <c r="Y14" s="55" t="s">
        <v>1002</v>
      </c>
    </row>
    <row r="15" customFormat="false" ht="15" hidden="false" customHeight="false" outlineLevel="0" collapsed="false">
      <c r="A15" s="165"/>
      <c r="B15" s="167" t="s">
        <v>998</v>
      </c>
      <c r="C15" s="168"/>
      <c r="D15" s="168"/>
      <c r="E15" s="168"/>
      <c r="F15" s="168"/>
      <c r="G15" s="168"/>
      <c r="H15" s="168"/>
      <c r="I15" s="168"/>
      <c r="J15" s="168"/>
      <c r="K15" s="168"/>
      <c r="L15" s="168"/>
      <c r="M15" s="168"/>
      <c r="N15" s="168"/>
      <c r="O15" s="168"/>
      <c r="P15" s="168"/>
      <c r="Q15" s="168"/>
      <c r="R15" s="168"/>
      <c r="S15" s="168"/>
      <c r="T15" s="168"/>
      <c r="U15" s="168"/>
      <c r="X15" s="164" t="s">
        <v>112</v>
      </c>
      <c r="Y15" s="55" t="s">
        <v>1003</v>
      </c>
    </row>
    <row r="16" customFormat="false" ht="15" hidden="false" customHeight="false" outlineLevel="0" collapsed="false">
      <c r="A16" s="165" t="s">
        <v>75</v>
      </c>
      <c r="B16" s="164" t="s">
        <v>113</v>
      </c>
      <c r="C16" s="166"/>
      <c r="D16" s="166"/>
      <c r="E16" s="166"/>
      <c r="F16" s="166"/>
      <c r="G16" s="166"/>
      <c r="H16" s="166"/>
      <c r="I16" s="166"/>
      <c r="J16" s="166"/>
      <c r="K16" s="166"/>
      <c r="L16" s="166"/>
      <c r="M16" s="166"/>
      <c r="N16" s="166"/>
      <c r="O16" s="166"/>
      <c r="P16" s="166"/>
      <c r="Q16" s="166"/>
      <c r="R16" s="166"/>
      <c r="S16" s="166"/>
      <c r="T16" s="166"/>
      <c r="U16" s="166"/>
      <c r="X16" s="164" t="s">
        <v>115</v>
      </c>
      <c r="Y16" s="55" t="s">
        <v>1004</v>
      </c>
    </row>
    <row r="17" customFormat="false" ht="15" hidden="false" customHeight="false" outlineLevel="0" collapsed="false">
      <c r="A17" s="165"/>
      <c r="B17" s="167" t="s">
        <v>998</v>
      </c>
      <c r="C17" s="168"/>
      <c r="D17" s="168"/>
      <c r="E17" s="168"/>
      <c r="F17" s="168"/>
      <c r="G17" s="168"/>
      <c r="H17" s="168"/>
      <c r="I17" s="168"/>
      <c r="J17" s="168"/>
      <c r="K17" s="168"/>
      <c r="L17" s="168"/>
      <c r="M17" s="168"/>
      <c r="N17" s="168"/>
      <c r="O17" s="168"/>
      <c r="P17" s="168"/>
      <c r="Q17" s="168"/>
      <c r="R17" s="168"/>
      <c r="S17" s="168"/>
      <c r="T17" s="168"/>
      <c r="U17" s="168"/>
      <c r="X17" s="164" t="s">
        <v>119</v>
      </c>
      <c r="Y17" s="55" t="s">
        <v>1005</v>
      </c>
    </row>
    <row r="18" customFormat="false" ht="15" hidden="false" customHeight="false" outlineLevel="0" collapsed="false">
      <c r="A18" s="165" t="s">
        <v>70</v>
      </c>
      <c r="B18" s="164" t="s">
        <v>113</v>
      </c>
      <c r="C18" s="166"/>
      <c r="D18" s="166"/>
      <c r="E18" s="166"/>
      <c r="F18" s="166"/>
      <c r="G18" s="166"/>
      <c r="H18" s="166"/>
      <c r="I18" s="166"/>
      <c r="J18" s="166"/>
      <c r="K18" s="166"/>
      <c r="L18" s="166"/>
      <c r="M18" s="166"/>
      <c r="N18" s="166"/>
      <c r="O18" s="166"/>
      <c r="P18" s="166"/>
      <c r="Q18" s="166"/>
      <c r="R18" s="166"/>
      <c r="S18" s="166"/>
      <c r="T18" s="166"/>
      <c r="U18" s="166"/>
      <c r="X18" s="164" t="s">
        <v>121</v>
      </c>
      <c r="Y18" s="55" t="s">
        <v>1006</v>
      </c>
    </row>
    <row r="19" customFormat="false" ht="15" hidden="false" customHeight="false" outlineLevel="0" collapsed="false">
      <c r="A19" s="165"/>
      <c r="B19" s="167" t="s">
        <v>998</v>
      </c>
      <c r="C19" s="168"/>
      <c r="D19" s="168"/>
      <c r="E19" s="168"/>
      <c r="F19" s="168"/>
      <c r="G19" s="168"/>
      <c r="H19" s="168"/>
      <c r="I19" s="168"/>
      <c r="J19" s="168"/>
      <c r="K19" s="168"/>
      <c r="L19" s="168"/>
      <c r="M19" s="168"/>
      <c r="N19" s="168"/>
      <c r="O19" s="168"/>
      <c r="P19" s="168"/>
      <c r="Q19" s="168"/>
      <c r="R19" s="168"/>
      <c r="S19" s="168"/>
      <c r="T19" s="168"/>
      <c r="U19" s="168"/>
      <c r="X19" s="164" t="s">
        <v>123</v>
      </c>
      <c r="Y19" s="55" t="s">
        <v>1007</v>
      </c>
    </row>
    <row r="20" customFormat="false" ht="15" hidden="false" customHeight="false" outlineLevel="0" collapsed="false">
      <c r="X20" s="164" t="s">
        <v>125</v>
      </c>
      <c r="Y20" s="55" t="s">
        <v>1008</v>
      </c>
    </row>
    <row r="21" customFormat="false" ht="15" hidden="false" customHeight="false" outlineLevel="0" collapsed="false">
      <c r="X21" s="164" t="s">
        <v>133</v>
      </c>
      <c r="Y21" s="55" t="s">
        <v>1009</v>
      </c>
    </row>
    <row r="22" customFormat="false" ht="15" hidden="false" customHeight="false" outlineLevel="0" collapsed="false">
      <c r="A22" s="163" t="s">
        <v>1010</v>
      </c>
      <c r="B22" s="163"/>
      <c r="C22" s="163"/>
      <c r="D22" s="163"/>
      <c r="E22" s="163"/>
      <c r="F22" s="163"/>
      <c r="G22" s="163"/>
      <c r="H22" s="163"/>
      <c r="I22" s="163"/>
      <c r="J22" s="163"/>
      <c r="K22" s="163"/>
      <c r="L22" s="163"/>
      <c r="M22" s="163"/>
      <c r="N22" s="163"/>
      <c r="O22" s="163"/>
      <c r="P22" s="163"/>
      <c r="Q22" s="163"/>
      <c r="R22" s="163"/>
      <c r="X22" s="164" t="s">
        <v>139</v>
      </c>
      <c r="Y22" s="55" t="s">
        <v>1011</v>
      </c>
    </row>
    <row r="23" customFormat="false" ht="15" hidden="false" customHeight="false" outlineLevel="0" collapsed="false">
      <c r="A23" s="164"/>
      <c r="B23" s="164"/>
      <c r="C23" s="164" t="s">
        <v>794</v>
      </c>
      <c r="D23" s="164" t="s">
        <v>798</v>
      </c>
      <c r="E23" s="164" t="s">
        <v>801</v>
      </c>
      <c r="F23" s="164" t="s">
        <v>804</v>
      </c>
      <c r="G23" s="164" t="s">
        <v>807</v>
      </c>
      <c r="H23" s="164" t="s">
        <v>810</v>
      </c>
      <c r="I23" s="164" t="s">
        <v>812</v>
      </c>
      <c r="J23" s="164" t="s">
        <v>814</v>
      </c>
      <c r="K23" s="164" t="s">
        <v>817</v>
      </c>
      <c r="L23" s="164" t="s">
        <v>820</v>
      </c>
      <c r="M23" s="164" t="s">
        <v>822</v>
      </c>
      <c r="N23" s="164" t="s">
        <v>825</v>
      </c>
      <c r="O23" s="164" t="s">
        <v>827</v>
      </c>
      <c r="P23" s="164" t="s">
        <v>830</v>
      </c>
      <c r="Q23" s="164" t="s">
        <v>832</v>
      </c>
      <c r="R23" s="164" t="s">
        <v>835</v>
      </c>
      <c r="X23" s="164" t="s">
        <v>154</v>
      </c>
      <c r="Y23" s="55" t="s">
        <v>1012</v>
      </c>
    </row>
    <row r="24" customFormat="false" ht="15" hidden="false" customHeight="false" outlineLevel="0" collapsed="false">
      <c r="A24" s="165" t="s">
        <v>65</v>
      </c>
      <c r="B24" s="164" t="s">
        <v>113</v>
      </c>
      <c r="C24" s="166"/>
      <c r="D24" s="166"/>
      <c r="E24" s="166"/>
      <c r="F24" s="166"/>
      <c r="G24" s="166"/>
      <c r="H24" s="166"/>
      <c r="I24" s="166"/>
      <c r="J24" s="166"/>
      <c r="K24" s="166"/>
      <c r="L24" s="166"/>
      <c r="M24" s="166"/>
      <c r="N24" s="166"/>
      <c r="O24" s="166"/>
      <c r="P24" s="166"/>
      <c r="Q24" s="166"/>
      <c r="R24" s="166"/>
      <c r="X24" s="164" t="s">
        <v>157</v>
      </c>
      <c r="Y24" s="55" t="s">
        <v>1013</v>
      </c>
    </row>
    <row r="25" customFormat="false" ht="15" hidden="false" customHeight="false" outlineLevel="0" collapsed="false">
      <c r="A25" s="165"/>
      <c r="B25" s="167" t="s">
        <v>998</v>
      </c>
      <c r="C25" s="168"/>
      <c r="D25" s="168"/>
      <c r="E25" s="168"/>
      <c r="F25" s="168"/>
      <c r="G25" s="168"/>
      <c r="H25" s="168"/>
      <c r="I25" s="168"/>
      <c r="J25" s="168"/>
      <c r="K25" s="168"/>
      <c r="L25" s="168"/>
      <c r="M25" s="168"/>
      <c r="N25" s="168"/>
      <c r="O25" s="168"/>
      <c r="P25" s="168"/>
      <c r="Q25" s="168"/>
      <c r="R25" s="168"/>
      <c r="X25" s="164" t="s">
        <v>158</v>
      </c>
      <c r="Y25" s="55" t="s">
        <v>1014</v>
      </c>
    </row>
    <row r="26" customFormat="false" ht="15" hidden="false" customHeight="false" outlineLevel="0" collapsed="false">
      <c r="A26" s="165" t="s">
        <v>71</v>
      </c>
      <c r="B26" s="164" t="s">
        <v>113</v>
      </c>
      <c r="C26" s="166"/>
      <c r="D26" s="166"/>
      <c r="E26" s="166"/>
      <c r="F26" s="166"/>
      <c r="G26" s="166"/>
      <c r="H26" s="166"/>
      <c r="I26" s="166"/>
      <c r="J26" s="166"/>
      <c r="K26" s="166"/>
      <c r="L26" s="166"/>
      <c r="M26" s="166"/>
      <c r="N26" s="166"/>
      <c r="O26" s="166"/>
      <c r="P26" s="166"/>
      <c r="Q26" s="166"/>
      <c r="R26" s="166"/>
      <c r="X26" s="164" t="s">
        <v>161</v>
      </c>
      <c r="Y26" s="55" t="s">
        <v>1015</v>
      </c>
    </row>
    <row r="27" customFormat="false" ht="15" hidden="false" customHeight="false" outlineLevel="0" collapsed="false">
      <c r="A27" s="165"/>
      <c r="B27" s="167" t="s">
        <v>998</v>
      </c>
      <c r="C27" s="168"/>
      <c r="D27" s="168"/>
      <c r="E27" s="168"/>
      <c r="F27" s="168"/>
      <c r="G27" s="168"/>
      <c r="H27" s="168"/>
      <c r="I27" s="168"/>
      <c r="J27" s="168"/>
      <c r="K27" s="168"/>
      <c r="L27" s="168"/>
      <c r="M27" s="168"/>
      <c r="N27" s="168"/>
      <c r="O27" s="168"/>
      <c r="P27" s="168"/>
      <c r="Q27" s="168"/>
      <c r="R27" s="168"/>
      <c r="X27" s="164" t="s">
        <v>100</v>
      </c>
      <c r="Y27" s="55" t="s">
        <v>1016</v>
      </c>
    </row>
    <row r="28" customFormat="false" ht="15" hidden="false" customHeight="false" outlineLevel="0" collapsed="false">
      <c r="A28" s="165" t="s">
        <v>74</v>
      </c>
      <c r="B28" s="164" t="s">
        <v>113</v>
      </c>
      <c r="C28" s="166"/>
      <c r="D28" s="166"/>
      <c r="E28" s="166"/>
      <c r="F28" s="166"/>
      <c r="G28" s="166"/>
      <c r="H28" s="166"/>
      <c r="I28" s="166"/>
      <c r="J28" s="166"/>
      <c r="K28" s="166"/>
      <c r="L28" s="166"/>
      <c r="M28" s="166"/>
      <c r="N28" s="166"/>
      <c r="O28" s="166"/>
      <c r="P28" s="166"/>
      <c r="Q28" s="166"/>
      <c r="R28" s="166"/>
      <c r="X28" s="164" t="s">
        <v>104</v>
      </c>
      <c r="Y28" s="55" t="s">
        <v>1017</v>
      </c>
    </row>
    <row r="29" customFormat="false" ht="15" hidden="false" customHeight="false" outlineLevel="0" collapsed="false">
      <c r="A29" s="165"/>
      <c r="B29" s="167" t="s">
        <v>998</v>
      </c>
      <c r="C29" s="168"/>
      <c r="D29" s="168"/>
      <c r="E29" s="168"/>
      <c r="F29" s="168"/>
      <c r="G29" s="168"/>
      <c r="H29" s="168"/>
      <c r="I29" s="168"/>
      <c r="J29" s="168"/>
      <c r="K29" s="168"/>
      <c r="L29" s="168"/>
      <c r="M29" s="168"/>
      <c r="N29" s="168"/>
      <c r="O29" s="168"/>
      <c r="P29" s="168"/>
      <c r="Q29" s="168"/>
      <c r="R29" s="168"/>
    </row>
    <row r="30" customFormat="false" ht="15" hidden="false" customHeight="false" outlineLevel="0" collapsed="false">
      <c r="A30" s="165" t="s">
        <v>75</v>
      </c>
      <c r="B30" s="164" t="s">
        <v>113</v>
      </c>
      <c r="C30" s="166"/>
      <c r="D30" s="166"/>
      <c r="E30" s="166"/>
      <c r="F30" s="166"/>
      <c r="G30" s="166"/>
      <c r="H30" s="166"/>
      <c r="I30" s="166"/>
      <c r="J30" s="166"/>
      <c r="K30" s="166"/>
      <c r="L30" s="166"/>
      <c r="M30" s="166"/>
      <c r="N30" s="166"/>
      <c r="O30" s="166"/>
      <c r="P30" s="166"/>
      <c r="Q30" s="166"/>
      <c r="R30" s="166"/>
    </row>
    <row r="31" customFormat="false" ht="15" hidden="false" customHeight="false" outlineLevel="0" collapsed="false">
      <c r="A31" s="165"/>
      <c r="B31" s="167" t="s">
        <v>998</v>
      </c>
      <c r="C31" s="168"/>
      <c r="D31" s="168"/>
      <c r="E31" s="168"/>
      <c r="F31" s="168"/>
      <c r="G31" s="168"/>
      <c r="H31" s="168"/>
      <c r="I31" s="168"/>
      <c r="J31" s="168"/>
      <c r="K31" s="168"/>
      <c r="L31" s="168"/>
      <c r="M31" s="168"/>
      <c r="N31" s="168"/>
      <c r="O31" s="168"/>
      <c r="P31" s="168"/>
      <c r="Q31" s="168"/>
      <c r="R31" s="168"/>
      <c r="X31" s="163" t="s">
        <v>1018</v>
      </c>
      <c r="Y31" s="163"/>
      <c r="Z31" s="163"/>
      <c r="AA31" s="163"/>
      <c r="AB31" s="163"/>
    </row>
    <row r="32" customFormat="false" ht="15" hidden="false" customHeight="false" outlineLevel="0" collapsed="false">
      <c r="A32" s="165" t="s">
        <v>70</v>
      </c>
      <c r="B32" s="164" t="s">
        <v>113</v>
      </c>
      <c r="C32" s="166"/>
      <c r="D32" s="166"/>
      <c r="E32" s="166"/>
      <c r="F32" s="166"/>
      <c r="G32" s="166"/>
      <c r="H32" s="166"/>
      <c r="I32" s="166"/>
      <c r="J32" s="166"/>
      <c r="K32" s="166"/>
      <c r="L32" s="166"/>
      <c r="M32" s="166"/>
      <c r="N32" s="166"/>
      <c r="O32" s="166"/>
      <c r="P32" s="166"/>
      <c r="Q32" s="166"/>
      <c r="R32" s="166"/>
      <c r="X32" s="164" t="s">
        <v>877</v>
      </c>
      <c r="Y32" s="164" t="s">
        <v>883</v>
      </c>
      <c r="Z32" s="164" t="s">
        <v>1019</v>
      </c>
      <c r="AA32" s="164" t="s">
        <v>1020</v>
      </c>
      <c r="AB32" s="164" t="s">
        <v>881</v>
      </c>
    </row>
    <row r="33" customFormat="false" ht="15" hidden="false" customHeight="false" outlineLevel="0" collapsed="false">
      <c r="A33" s="165"/>
      <c r="B33" s="167" t="s">
        <v>998</v>
      </c>
      <c r="C33" s="168"/>
      <c r="D33" s="168"/>
      <c r="E33" s="168"/>
      <c r="F33" s="168"/>
      <c r="G33" s="168"/>
      <c r="H33" s="168"/>
      <c r="I33" s="168"/>
      <c r="J33" s="168"/>
      <c r="K33" s="168"/>
      <c r="L33" s="168"/>
      <c r="M33" s="168"/>
      <c r="N33" s="168"/>
      <c r="O33" s="168"/>
      <c r="P33" s="168"/>
      <c r="Q33" s="168"/>
      <c r="R33" s="168"/>
      <c r="X33" s="164" t="s">
        <v>794</v>
      </c>
      <c r="Y33" s="55" t="s">
        <v>795</v>
      </c>
      <c r="Z33" s="55" t="s">
        <v>1021</v>
      </c>
      <c r="AA33" s="169" t="s">
        <v>1022</v>
      </c>
      <c r="AB33" s="55" t="s">
        <v>1023</v>
      </c>
    </row>
    <row r="34" customFormat="false" ht="15" hidden="false" customHeight="false" outlineLevel="0" collapsed="false">
      <c r="X34" s="164" t="s">
        <v>798</v>
      </c>
      <c r="Y34" s="55" t="s">
        <v>799</v>
      </c>
      <c r="Z34" s="55" t="s">
        <v>1024</v>
      </c>
      <c r="AA34" s="169" t="s">
        <v>1025</v>
      </c>
      <c r="AB34" s="55" t="s">
        <v>1023</v>
      </c>
    </row>
    <row r="35" customFormat="false" ht="15" hidden="false" customHeight="false" outlineLevel="0" collapsed="false">
      <c r="X35" s="164" t="s">
        <v>801</v>
      </c>
      <c r="Y35" s="55" t="s">
        <v>802</v>
      </c>
      <c r="Z35" s="55" t="s">
        <v>1026</v>
      </c>
      <c r="AA35" s="169" t="s">
        <v>1027</v>
      </c>
      <c r="AB35" s="55" t="s">
        <v>1023</v>
      </c>
    </row>
    <row r="36" customFormat="false" ht="15" hidden="false" customHeight="false" outlineLevel="0" collapsed="false">
      <c r="A36" s="163" t="s">
        <v>1028</v>
      </c>
      <c r="B36" s="163"/>
      <c r="C36" s="163"/>
      <c r="D36" s="163"/>
      <c r="E36" s="163"/>
      <c r="F36" s="163"/>
      <c r="G36" s="163"/>
      <c r="H36" s="163"/>
      <c r="I36" s="163"/>
      <c r="J36" s="163"/>
      <c r="K36" s="163"/>
      <c r="L36" s="163"/>
      <c r="M36" s="163"/>
      <c r="N36" s="163"/>
      <c r="O36" s="163"/>
      <c r="P36" s="163"/>
      <c r="Q36" s="163"/>
      <c r="R36" s="163"/>
      <c r="X36" s="164" t="s">
        <v>804</v>
      </c>
      <c r="Y36" s="55" t="s">
        <v>805</v>
      </c>
      <c r="Z36" s="55" t="s">
        <v>1029</v>
      </c>
      <c r="AA36" s="169" t="s">
        <v>1030</v>
      </c>
      <c r="AB36" s="55" t="s">
        <v>1023</v>
      </c>
    </row>
    <row r="37" customFormat="false" ht="15" hidden="false" customHeight="false" outlineLevel="0" collapsed="false">
      <c r="A37" s="164"/>
      <c r="B37" s="164"/>
      <c r="C37" s="164" t="s">
        <v>837</v>
      </c>
      <c r="D37" s="164" t="s">
        <v>840</v>
      </c>
      <c r="E37" s="164" t="s">
        <v>843</v>
      </c>
      <c r="F37" s="164" t="s">
        <v>846</v>
      </c>
      <c r="G37" s="164" t="s">
        <v>849</v>
      </c>
      <c r="H37" s="164" t="s">
        <v>852</v>
      </c>
      <c r="I37" s="164" t="s">
        <v>855</v>
      </c>
      <c r="J37" s="164" t="s">
        <v>858</v>
      </c>
      <c r="K37" s="164" t="s">
        <v>861</v>
      </c>
      <c r="L37" s="164" t="s">
        <v>863</v>
      </c>
      <c r="M37" s="164" t="s">
        <v>866</v>
      </c>
      <c r="N37" s="164" t="s">
        <v>868</v>
      </c>
      <c r="O37" s="164" t="s">
        <v>870</v>
      </c>
      <c r="P37" s="164" t="s">
        <v>872</v>
      </c>
      <c r="Q37" s="164" t="s">
        <v>874</v>
      </c>
      <c r="R37" s="164"/>
      <c r="X37" s="164" t="s">
        <v>807</v>
      </c>
      <c r="Y37" s="55" t="s">
        <v>1031</v>
      </c>
      <c r="Z37" s="55" t="s">
        <v>1032</v>
      </c>
      <c r="AA37" s="169" t="s">
        <v>1033</v>
      </c>
      <c r="AB37" s="55" t="s">
        <v>1023</v>
      </c>
    </row>
    <row r="38" customFormat="false" ht="15" hidden="false" customHeight="false" outlineLevel="0" collapsed="false">
      <c r="A38" s="165" t="s">
        <v>65</v>
      </c>
      <c r="B38" s="164" t="s">
        <v>113</v>
      </c>
      <c r="C38" s="166"/>
      <c r="D38" s="166"/>
      <c r="E38" s="166"/>
      <c r="F38" s="166"/>
      <c r="G38" s="166"/>
      <c r="H38" s="166"/>
      <c r="I38" s="166"/>
      <c r="J38" s="166"/>
      <c r="K38" s="166"/>
      <c r="L38" s="166"/>
      <c r="M38" s="166"/>
      <c r="N38" s="166"/>
      <c r="O38" s="166"/>
      <c r="P38" s="166"/>
      <c r="Q38" s="166"/>
      <c r="R38" s="166"/>
      <c r="X38" s="164" t="s">
        <v>810</v>
      </c>
      <c r="Y38" s="55" t="s">
        <v>1034</v>
      </c>
      <c r="Z38" s="55" t="s">
        <v>1035</v>
      </c>
      <c r="AA38" s="169" t="s">
        <v>1036</v>
      </c>
      <c r="AB38" s="55" t="s">
        <v>1023</v>
      </c>
    </row>
    <row r="39" customFormat="false" ht="15" hidden="false" customHeight="false" outlineLevel="0" collapsed="false">
      <c r="A39" s="165"/>
      <c r="B39" s="167" t="s">
        <v>998</v>
      </c>
      <c r="C39" s="168"/>
      <c r="D39" s="168"/>
      <c r="E39" s="168"/>
      <c r="F39" s="168"/>
      <c r="G39" s="168"/>
      <c r="H39" s="168"/>
      <c r="I39" s="168"/>
      <c r="J39" s="168"/>
      <c r="K39" s="168"/>
      <c r="L39" s="168"/>
      <c r="M39" s="168"/>
      <c r="N39" s="168"/>
      <c r="O39" s="168"/>
      <c r="P39" s="168"/>
      <c r="Q39" s="168"/>
      <c r="R39" s="168"/>
      <c r="X39" s="164" t="s">
        <v>812</v>
      </c>
      <c r="Y39" s="55" t="s">
        <v>1037</v>
      </c>
      <c r="Z39" s="55" t="s">
        <v>1038</v>
      </c>
      <c r="AA39" s="169" t="s">
        <v>1039</v>
      </c>
      <c r="AB39" s="55" t="s">
        <v>1023</v>
      </c>
    </row>
    <row r="40" customFormat="false" ht="15" hidden="false" customHeight="false" outlineLevel="0" collapsed="false">
      <c r="A40" s="165" t="s">
        <v>71</v>
      </c>
      <c r="B40" s="164" t="s">
        <v>113</v>
      </c>
      <c r="C40" s="166"/>
      <c r="D40" s="166"/>
      <c r="E40" s="166"/>
      <c r="F40" s="166"/>
      <c r="G40" s="166"/>
      <c r="H40" s="166"/>
      <c r="I40" s="166"/>
      <c r="J40" s="166"/>
      <c r="K40" s="166"/>
      <c r="L40" s="166"/>
      <c r="M40" s="166"/>
      <c r="N40" s="166"/>
      <c r="O40" s="166"/>
      <c r="P40" s="166"/>
      <c r="Q40" s="166"/>
      <c r="R40" s="166"/>
      <c r="X40" s="164" t="s">
        <v>814</v>
      </c>
      <c r="Y40" s="55" t="s">
        <v>1040</v>
      </c>
      <c r="Z40" s="55" t="s">
        <v>1041</v>
      </c>
      <c r="AA40" s="169" t="s">
        <v>1042</v>
      </c>
      <c r="AB40" s="55" t="s">
        <v>1023</v>
      </c>
    </row>
    <row r="41" customFormat="false" ht="15" hidden="false" customHeight="false" outlineLevel="0" collapsed="false">
      <c r="A41" s="165"/>
      <c r="B41" s="167" t="s">
        <v>998</v>
      </c>
      <c r="C41" s="168"/>
      <c r="D41" s="168"/>
      <c r="E41" s="168"/>
      <c r="F41" s="168"/>
      <c r="G41" s="168"/>
      <c r="H41" s="168"/>
      <c r="I41" s="168"/>
      <c r="J41" s="168"/>
      <c r="K41" s="168"/>
      <c r="L41" s="168"/>
      <c r="M41" s="168"/>
      <c r="N41" s="168"/>
      <c r="O41" s="168"/>
      <c r="P41" s="168"/>
      <c r="Q41" s="168"/>
      <c r="R41" s="168"/>
      <c r="X41" s="164" t="s">
        <v>817</v>
      </c>
      <c r="Y41" s="55" t="s">
        <v>818</v>
      </c>
      <c r="Z41" s="55" t="s">
        <v>1043</v>
      </c>
      <c r="AA41" s="169" t="s">
        <v>1044</v>
      </c>
      <c r="AB41" s="55" t="s">
        <v>1023</v>
      </c>
    </row>
    <row r="42" customFormat="false" ht="15" hidden="false" customHeight="false" outlineLevel="0" collapsed="false">
      <c r="A42" s="165" t="s">
        <v>74</v>
      </c>
      <c r="B42" s="164" t="s">
        <v>113</v>
      </c>
      <c r="C42" s="166"/>
      <c r="D42" s="166"/>
      <c r="E42" s="166"/>
      <c r="F42" s="166"/>
      <c r="G42" s="166"/>
      <c r="H42" s="166"/>
      <c r="I42" s="166"/>
      <c r="J42" s="166"/>
      <c r="K42" s="166"/>
      <c r="L42" s="166"/>
      <c r="M42" s="166"/>
      <c r="N42" s="166"/>
      <c r="O42" s="166"/>
      <c r="P42" s="166"/>
      <c r="Q42" s="166"/>
      <c r="R42" s="166"/>
      <c r="X42" s="164" t="s">
        <v>820</v>
      </c>
      <c r="Y42" s="55" t="s">
        <v>821</v>
      </c>
      <c r="Z42" s="55" t="s">
        <v>1045</v>
      </c>
      <c r="AA42" s="169" t="s">
        <v>1046</v>
      </c>
      <c r="AB42" s="55" t="s">
        <v>1023</v>
      </c>
    </row>
    <row r="43" customFormat="false" ht="15" hidden="false" customHeight="false" outlineLevel="0" collapsed="false">
      <c r="A43" s="165"/>
      <c r="B43" s="167" t="s">
        <v>998</v>
      </c>
      <c r="C43" s="168"/>
      <c r="D43" s="168"/>
      <c r="E43" s="168"/>
      <c r="F43" s="168"/>
      <c r="G43" s="168"/>
      <c r="H43" s="168"/>
      <c r="I43" s="168"/>
      <c r="J43" s="168"/>
      <c r="K43" s="168"/>
      <c r="L43" s="168"/>
      <c r="M43" s="168"/>
      <c r="N43" s="168"/>
      <c r="O43" s="168"/>
      <c r="P43" s="168"/>
      <c r="Q43" s="168"/>
      <c r="R43" s="168"/>
      <c r="X43" s="164" t="s">
        <v>822</v>
      </c>
      <c r="Y43" s="55" t="s">
        <v>823</v>
      </c>
      <c r="Z43" s="55" t="s">
        <v>1047</v>
      </c>
      <c r="AA43" s="169" t="s">
        <v>1048</v>
      </c>
      <c r="AB43" s="55" t="s">
        <v>1023</v>
      </c>
    </row>
    <row r="44" customFormat="false" ht="15" hidden="false" customHeight="false" outlineLevel="0" collapsed="false">
      <c r="A44" s="165" t="s">
        <v>75</v>
      </c>
      <c r="B44" s="164" t="s">
        <v>113</v>
      </c>
      <c r="C44" s="166"/>
      <c r="D44" s="166"/>
      <c r="E44" s="166"/>
      <c r="F44" s="166"/>
      <c r="G44" s="166"/>
      <c r="H44" s="166"/>
      <c r="I44" s="166"/>
      <c r="J44" s="166"/>
      <c r="K44" s="166"/>
      <c r="L44" s="166"/>
      <c r="M44" s="166"/>
      <c r="N44" s="166"/>
      <c r="O44" s="166"/>
      <c r="P44" s="166"/>
      <c r="Q44" s="166"/>
      <c r="R44" s="166"/>
      <c r="X44" s="164" t="s">
        <v>825</v>
      </c>
      <c r="Y44" s="55" t="s">
        <v>826</v>
      </c>
      <c r="Z44" s="55" t="s">
        <v>1049</v>
      </c>
      <c r="AA44" s="169" t="s">
        <v>1050</v>
      </c>
      <c r="AB44" s="55" t="s">
        <v>1023</v>
      </c>
    </row>
    <row r="45" customFormat="false" ht="15" hidden="false" customHeight="false" outlineLevel="0" collapsed="false">
      <c r="A45" s="165"/>
      <c r="B45" s="167" t="s">
        <v>998</v>
      </c>
      <c r="C45" s="168"/>
      <c r="D45" s="168"/>
      <c r="E45" s="168"/>
      <c r="F45" s="168"/>
      <c r="G45" s="168"/>
      <c r="H45" s="168"/>
      <c r="I45" s="168"/>
      <c r="J45" s="168"/>
      <c r="K45" s="168"/>
      <c r="L45" s="168"/>
      <c r="M45" s="168"/>
      <c r="N45" s="168"/>
      <c r="O45" s="168"/>
      <c r="P45" s="168"/>
      <c r="Q45" s="168"/>
      <c r="R45" s="168"/>
      <c r="X45" s="164" t="s">
        <v>827</v>
      </c>
      <c r="Y45" s="55" t="s">
        <v>828</v>
      </c>
      <c r="Z45" s="55" t="s">
        <v>1051</v>
      </c>
      <c r="AA45" s="169" t="s">
        <v>1052</v>
      </c>
      <c r="AB45" s="55" t="s">
        <v>1023</v>
      </c>
    </row>
    <row r="46" customFormat="false" ht="15" hidden="false" customHeight="false" outlineLevel="0" collapsed="false">
      <c r="A46" s="165" t="s">
        <v>70</v>
      </c>
      <c r="B46" s="164" t="s">
        <v>113</v>
      </c>
      <c r="C46" s="166"/>
      <c r="D46" s="166"/>
      <c r="E46" s="166"/>
      <c r="F46" s="166"/>
      <c r="G46" s="166"/>
      <c r="H46" s="166"/>
      <c r="I46" s="166"/>
      <c r="J46" s="166"/>
      <c r="K46" s="166"/>
      <c r="L46" s="166"/>
      <c r="M46" s="166"/>
      <c r="N46" s="166"/>
      <c r="O46" s="166"/>
      <c r="P46" s="166"/>
      <c r="Q46" s="166"/>
      <c r="R46" s="166"/>
      <c r="X46" s="164" t="s">
        <v>830</v>
      </c>
      <c r="Y46" s="55" t="s">
        <v>831</v>
      </c>
      <c r="Z46" s="55" t="s">
        <v>1053</v>
      </c>
      <c r="AA46" s="169" t="s">
        <v>1054</v>
      </c>
      <c r="AB46" s="55" t="s">
        <v>1023</v>
      </c>
    </row>
    <row r="47" customFormat="false" ht="15" hidden="false" customHeight="false" outlineLevel="0" collapsed="false">
      <c r="A47" s="165"/>
      <c r="B47" s="167" t="s">
        <v>998</v>
      </c>
      <c r="C47" s="168"/>
      <c r="D47" s="168"/>
      <c r="E47" s="168"/>
      <c r="F47" s="168"/>
      <c r="G47" s="168"/>
      <c r="H47" s="168"/>
      <c r="I47" s="168"/>
      <c r="J47" s="168"/>
      <c r="K47" s="168"/>
      <c r="L47" s="168"/>
      <c r="M47" s="168"/>
      <c r="N47" s="168"/>
      <c r="O47" s="168"/>
      <c r="P47" s="168"/>
      <c r="Q47" s="168"/>
      <c r="R47" s="168"/>
      <c r="X47" s="164" t="s">
        <v>832</v>
      </c>
      <c r="Y47" s="55" t="s">
        <v>833</v>
      </c>
      <c r="Z47" s="55" t="s">
        <v>1055</v>
      </c>
      <c r="AA47" s="169" t="s">
        <v>1056</v>
      </c>
      <c r="AB47" s="55" t="s">
        <v>1023</v>
      </c>
    </row>
    <row r="48" customFormat="false" ht="15" hidden="false" customHeight="false" outlineLevel="0" collapsed="false">
      <c r="X48" s="164" t="s">
        <v>835</v>
      </c>
      <c r="Y48" s="55" t="s">
        <v>1057</v>
      </c>
      <c r="Z48" s="55" t="s">
        <v>1058</v>
      </c>
      <c r="AA48" s="169" t="s">
        <v>1059</v>
      </c>
      <c r="AB48" s="55" t="s">
        <v>1023</v>
      </c>
    </row>
    <row r="49" customFormat="false" ht="15" hidden="false" customHeight="false" outlineLevel="0" collapsed="false">
      <c r="X49" s="164" t="s">
        <v>837</v>
      </c>
      <c r="Y49" s="55" t="s">
        <v>838</v>
      </c>
      <c r="Z49" s="55" t="s">
        <v>1060</v>
      </c>
      <c r="AA49" s="169" t="s">
        <v>1061</v>
      </c>
      <c r="AB49" s="55" t="s">
        <v>1023</v>
      </c>
    </row>
    <row r="50" customFormat="false" ht="15" hidden="false" customHeight="false" outlineLevel="0" collapsed="false">
      <c r="A50" s="163" t="s">
        <v>1062</v>
      </c>
      <c r="B50" s="163"/>
      <c r="C50" s="163"/>
      <c r="D50" s="163"/>
      <c r="E50" s="163"/>
      <c r="F50" s="163"/>
      <c r="G50" s="163"/>
      <c r="X50" s="164" t="s">
        <v>840</v>
      </c>
      <c r="Y50" s="55" t="s">
        <v>841</v>
      </c>
      <c r="Z50" s="55" t="s">
        <v>1063</v>
      </c>
      <c r="AA50" s="169" t="s">
        <v>1064</v>
      </c>
      <c r="AB50" s="55" t="s">
        <v>1023</v>
      </c>
    </row>
    <row r="51" customFormat="false" ht="15" hidden="false" customHeight="false" outlineLevel="0" collapsed="false">
      <c r="A51" s="164" t="s">
        <v>877</v>
      </c>
      <c r="B51" s="164"/>
      <c r="C51" s="164" t="s">
        <v>65</v>
      </c>
      <c r="D51" s="164" t="s">
        <v>71</v>
      </c>
      <c r="E51" s="164" t="s">
        <v>74</v>
      </c>
      <c r="F51" s="164" t="s">
        <v>75</v>
      </c>
      <c r="G51" s="164" t="s">
        <v>70</v>
      </c>
      <c r="X51" s="164" t="s">
        <v>843</v>
      </c>
      <c r="Y51" s="55" t="s">
        <v>844</v>
      </c>
      <c r="Z51" s="55" t="s">
        <v>1065</v>
      </c>
      <c r="AA51" s="169" t="s">
        <v>1066</v>
      </c>
      <c r="AB51" s="55" t="s">
        <v>1023</v>
      </c>
    </row>
    <row r="52" customFormat="false" ht="15" hidden="false" customHeight="false" outlineLevel="0" collapsed="false">
      <c r="A52" s="165" t="s">
        <v>65</v>
      </c>
      <c r="B52" s="164" t="s">
        <v>113</v>
      </c>
      <c r="C52" s="170" t="s">
        <v>1067</v>
      </c>
      <c r="D52" s="171" t="s">
        <v>82</v>
      </c>
      <c r="E52" s="171" t="s">
        <v>83</v>
      </c>
      <c r="F52" s="171" t="s">
        <v>84</v>
      </c>
      <c r="G52" s="171" t="s">
        <v>85</v>
      </c>
      <c r="X52" s="164" t="s">
        <v>846</v>
      </c>
      <c r="Y52" s="55" t="s">
        <v>847</v>
      </c>
      <c r="Z52" s="55" t="s">
        <v>1068</v>
      </c>
      <c r="AA52" s="169" t="s">
        <v>1069</v>
      </c>
      <c r="AB52" s="55" t="s">
        <v>1023</v>
      </c>
    </row>
    <row r="53" customFormat="false" ht="15" hidden="false" customHeight="false" outlineLevel="0" collapsed="false">
      <c r="A53" s="165"/>
      <c r="B53" s="167" t="s">
        <v>998</v>
      </c>
      <c r="C53" s="170" t="s">
        <v>1067</v>
      </c>
      <c r="D53" s="172" t="s">
        <v>82</v>
      </c>
      <c r="E53" s="172" t="s">
        <v>83</v>
      </c>
      <c r="F53" s="172" t="s">
        <v>88</v>
      </c>
      <c r="G53" s="172" t="s">
        <v>85</v>
      </c>
      <c r="X53" s="164" t="s">
        <v>849</v>
      </c>
      <c r="Y53" s="55" t="s">
        <v>850</v>
      </c>
      <c r="Z53" s="55" t="s">
        <v>1070</v>
      </c>
      <c r="AA53" s="169" t="s">
        <v>1071</v>
      </c>
      <c r="AB53" s="55" t="s">
        <v>1023</v>
      </c>
    </row>
    <row r="54" customFormat="false" ht="15" hidden="false" customHeight="false" outlineLevel="0" collapsed="false">
      <c r="A54" s="165" t="s">
        <v>71</v>
      </c>
      <c r="B54" s="164" t="s">
        <v>113</v>
      </c>
      <c r="C54" s="171" t="s">
        <v>82</v>
      </c>
      <c r="D54" s="170" t="s">
        <v>1067</v>
      </c>
      <c r="E54" s="171" t="s">
        <v>81</v>
      </c>
      <c r="F54" s="171" t="s">
        <v>86</v>
      </c>
      <c r="G54" s="171" t="s">
        <v>84</v>
      </c>
      <c r="X54" s="164" t="s">
        <v>852</v>
      </c>
      <c r="Y54" s="55" t="s">
        <v>853</v>
      </c>
      <c r="Z54" s="55" t="s">
        <v>1072</v>
      </c>
      <c r="AA54" s="169" t="s">
        <v>1073</v>
      </c>
      <c r="AB54" s="55" t="s">
        <v>1023</v>
      </c>
    </row>
    <row r="55" customFormat="false" ht="15" hidden="false" customHeight="false" outlineLevel="0" collapsed="false">
      <c r="A55" s="165"/>
      <c r="B55" s="167" t="s">
        <v>998</v>
      </c>
      <c r="C55" s="172" t="s">
        <v>82</v>
      </c>
      <c r="D55" s="170" t="s">
        <v>1067</v>
      </c>
      <c r="E55" s="172" t="s">
        <v>81</v>
      </c>
      <c r="F55" s="172" t="s">
        <v>89</v>
      </c>
      <c r="G55" s="172" t="s">
        <v>91</v>
      </c>
      <c r="X55" s="164" t="s">
        <v>855</v>
      </c>
      <c r="Y55" s="55" t="s">
        <v>856</v>
      </c>
      <c r="Z55" s="55" t="s">
        <v>1074</v>
      </c>
      <c r="AA55" s="169" t="s">
        <v>1075</v>
      </c>
      <c r="AB55" s="55" t="s">
        <v>1076</v>
      </c>
    </row>
    <row r="56" customFormat="false" ht="15" hidden="false" customHeight="false" outlineLevel="0" collapsed="false">
      <c r="A56" s="165" t="s">
        <v>74</v>
      </c>
      <c r="B56" s="164" t="s">
        <v>113</v>
      </c>
      <c r="C56" s="171" t="s">
        <v>83</v>
      </c>
      <c r="D56" s="171" t="s">
        <v>81</v>
      </c>
      <c r="E56" s="170" t="s">
        <v>1067</v>
      </c>
      <c r="F56" s="171" t="s">
        <v>85</v>
      </c>
      <c r="G56" s="171" t="s">
        <v>87</v>
      </c>
      <c r="X56" s="164" t="s">
        <v>858</v>
      </c>
      <c r="Y56" s="55" t="s">
        <v>1077</v>
      </c>
      <c r="Z56" s="55" t="s">
        <v>860</v>
      </c>
      <c r="AA56" s="169" t="s">
        <v>1078</v>
      </c>
      <c r="AB56" s="55" t="s">
        <v>1079</v>
      </c>
    </row>
    <row r="57" customFormat="false" ht="15" hidden="false" customHeight="false" outlineLevel="0" collapsed="false">
      <c r="A57" s="165"/>
      <c r="B57" s="167" t="s">
        <v>998</v>
      </c>
      <c r="C57" s="172" t="s">
        <v>83</v>
      </c>
      <c r="D57" s="172" t="s">
        <v>81</v>
      </c>
      <c r="E57" s="170" t="s">
        <v>1067</v>
      </c>
      <c r="F57" s="172" t="s">
        <v>90</v>
      </c>
      <c r="G57" s="172" t="s">
        <v>92</v>
      </c>
      <c r="X57" s="164" t="s">
        <v>861</v>
      </c>
      <c r="Y57" s="55" t="s">
        <v>1080</v>
      </c>
      <c r="Z57" s="55" t="s">
        <v>1081</v>
      </c>
      <c r="AA57" s="169" t="s">
        <v>1078</v>
      </c>
      <c r="AB57" s="55" t="s">
        <v>1079</v>
      </c>
    </row>
    <row r="58" customFormat="false" ht="15" hidden="false" customHeight="false" outlineLevel="0" collapsed="false">
      <c r="A58" s="165" t="s">
        <v>75</v>
      </c>
      <c r="B58" s="164" t="s">
        <v>113</v>
      </c>
      <c r="C58" s="171" t="s">
        <v>88</v>
      </c>
      <c r="D58" s="171" t="s">
        <v>89</v>
      </c>
      <c r="E58" s="171" t="s">
        <v>90</v>
      </c>
      <c r="F58" s="170" t="s">
        <v>1067</v>
      </c>
      <c r="G58" s="171" t="s">
        <v>82</v>
      </c>
      <c r="X58" s="164" t="s">
        <v>863</v>
      </c>
      <c r="Y58" s="55" t="s">
        <v>864</v>
      </c>
      <c r="Z58" s="55" t="s">
        <v>865</v>
      </c>
      <c r="AA58" s="169" t="s">
        <v>1078</v>
      </c>
      <c r="AB58" s="55" t="s">
        <v>1023</v>
      </c>
    </row>
    <row r="59" customFormat="false" ht="15" hidden="false" customHeight="false" outlineLevel="0" collapsed="false">
      <c r="A59" s="165"/>
      <c r="B59" s="167" t="s">
        <v>998</v>
      </c>
      <c r="C59" s="172" t="s">
        <v>84</v>
      </c>
      <c r="D59" s="172" t="s">
        <v>86</v>
      </c>
      <c r="E59" s="172" t="s">
        <v>85</v>
      </c>
      <c r="F59" s="170" t="s">
        <v>1067</v>
      </c>
      <c r="G59" s="172" t="s">
        <v>82</v>
      </c>
      <c r="X59" s="164" t="s">
        <v>866</v>
      </c>
      <c r="Y59" s="55" t="s">
        <v>867</v>
      </c>
      <c r="Z59" s="55" t="s">
        <v>1082</v>
      </c>
      <c r="AA59" s="169" t="s">
        <v>1078</v>
      </c>
      <c r="AB59" s="55" t="s">
        <v>1023</v>
      </c>
    </row>
    <row r="60" customFormat="false" ht="15" hidden="false" customHeight="false" outlineLevel="0" collapsed="false">
      <c r="A60" s="165" t="s">
        <v>70</v>
      </c>
      <c r="B60" s="164" t="s">
        <v>113</v>
      </c>
      <c r="C60" s="171" t="s">
        <v>85</v>
      </c>
      <c r="D60" s="171" t="s">
        <v>91</v>
      </c>
      <c r="E60" s="171" t="s">
        <v>92</v>
      </c>
      <c r="F60" s="171" t="s">
        <v>82</v>
      </c>
      <c r="G60" s="170" t="s">
        <v>1067</v>
      </c>
      <c r="X60" s="164" t="s">
        <v>868</v>
      </c>
      <c r="Y60" s="55" t="s">
        <v>869</v>
      </c>
      <c r="Z60" s="55" t="s">
        <v>869</v>
      </c>
      <c r="AA60" s="169" t="s">
        <v>1078</v>
      </c>
      <c r="AB60" s="55" t="s">
        <v>1083</v>
      </c>
    </row>
    <row r="61" customFormat="false" ht="15" hidden="false" customHeight="false" outlineLevel="0" collapsed="false">
      <c r="A61" s="165"/>
      <c r="B61" s="167" t="s">
        <v>998</v>
      </c>
      <c r="C61" s="172" t="s">
        <v>85</v>
      </c>
      <c r="D61" s="172" t="s">
        <v>84</v>
      </c>
      <c r="E61" s="172" t="s">
        <v>87</v>
      </c>
      <c r="F61" s="172" t="s">
        <v>82</v>
      </c>
      <c r="G61" s="170" t="s">
        <v>1067</v>
      </c>
      <c r="X61" s="164" t="s">
        <v>870</v>
      </c>
      <c r="Y61" s="55" t="s">
        <v>871</v>
      </c>
      <c r="Z61" s="55" t="s">
        <v>871</v>
      </c>
      <c r="AA61" s="169" t="s">
        <v>1078</v>
      </c>
      <c r="AB61" s="55" t="s">
        <v>1023</v>
      </c>
    </row>
    <row r="62" customFormat="false" ht="15" hidden="false" customHeight="false" outlineLevel="0" collapsed="false">
      <c r="X62" s="164" t="s">
        <v>872</v>
      </c>
      <c r="Y62" s="55" t="s">
        <v>873</v>
      </c>
      <c r="Z62" s="55" t="s">
        <v>873</v>
      </c>
      <c r="AA62" s="169" t="s">
        <v>1078</v>
      </c>
      <c r="AB62" s="55" t="s">
        <v>1023</v>
      </c>
    </row>
    <row r="63" customFormat="false" ht="15" hidden="false" customHeight="false" outlineLevel="0" collapsed="false">
      <c r="X63" s="164" t="s">
        <v>874</v>
      </c>
      <c r="Y63" s="55" t="s">
        <v>875</v>
      </c>
      <c r="Z63" s="55" t="s">
        <v>875</v>
      </c>
      <c r="AA63" s="169" t="s">
        <v>1078</v>
      </c>
      <c r="AB63" s="55" t="s">
        <v>1084</v>
      </c>
    </row>
    <row r="65" customFormat="false" ht="15" hidden="false" customHeight="false" outlineLevel="0" collapsed="false">
      <c r="A65" s="148" t="s">
        <v>1085</v>
      </c>
      <c r="B65" s="148"/>
      <c r="C65" s="148"/>
      <c r="D65" s="148"/>
      <c r="E65" s="148"/>
      <c r="F65" s="148"/>
      <c r="G65" s="148"/>
      <c r="H65" s="148"/>
      <c r="I65" s="148"/>
      <c r="J65" s="148"/>
      <c r="K65" s="148"/>
      <c r="L65" s="148"/>
      <c r="M65" s="148"/>
      <c r="N65" s="148"/>
      <c r="O65" s="148"/>
      <c r="P65" s="148"/>
      <c r="R65" s="148" t="s">
        <v>1086</v>
      </c>
      <c r="S65" s="148"/>
      <c r="T65" s="148"/>
      <c r="W65" s="148" t="s">
        <v>1087</v>
      </c>
      <c r="X65" s="148"/>
      <c r="Y65" s="148"/>
      <c r="Z65" s="148"/>
      <c r="AA65" s="148"/>
      <c r="AB65" s="148"/>
      <c r="AC65" s="148"/>
      <c r="AD65" s="148"/>
      <c r="AE65" s="148"/>
      <c r="AF65" s="148"/>
      <c r="AG65" s="148"/>
      <c r="AH65" s="148"/>
      <c r="AI65" s="148"/>
      <c r="AJ65" s="148"/>
      <c r="AK65" s="148"/>
      <c r="AL65" s="148"/>
      <c r="AN65" s="148" t="s">
        <v>1088</v>
      </c>
      <c r="AO65" s="148"/>
      <c r="AP65" s="148"/>
    </row>
    <row r="66" customFormat="false" ht="15" hidden="false" customHeight="false" outlineLevel="0" collapsed="false">
      <c r="A66" s="123"/>
      <c r="B66" s="149" t="s">
        <v>112</v>
      </c>
      <c r="C66" s="149" t="s">
        <v>115</v>
      </c>
      <c r="D66" s="149" t="s">
        <v>119</v>
      </c>
      <c r="E66" s="149" t="s">
        <v>121</v>
      </c>
      <c r="F66" s="149" t="s">
        <v>123</v>
      </c>
      <c r="G66" s="149" t="s">
        <v>125</v>
      </c>
      <c r="H66" s="149" t="s">
        <v>168</v>
      </c>
      <c r="I66" s="149" t="s">
        <v>169</v>
      </c>
      <c r="J66" s="149" t="s">
        <v>170</v>
      </c>
      <c r="K66" s="149" t="s">
        <v>171</v>
      </c>
      <c r="L66" s="149" t="s">
        <v>172</v>
      </c>
      <c r="M66" s="149" t="s">
        <v>173</v>
      </c>
      <c r="N66" s="149" t="s">
        <v>174</v>
      </c>
      <c r="O66" s="149" t="s">
        <v>175</v>
      </c>
      <c r="P66" s="149" t="s">
        <v>176</v>
      </c>
      <c r="R66" s="151"/>
      <c r="S66" s="150" t="s">
        <v>112</v>
      </c>
      <c r="T66" s="150" t="s">
        <v>121</v>
      </c>
      <c r="W66" s="123"/>
      <c r="X66" s="149" t="s">
        <v>112</v>
      </c>
      <c r="Y66" s="149" t="s">
        <v>115</v>
      </c>
      <c r="Z66" s="149" t="s">
        <v>119</v>
      </c>
      <c r="AA66" s="149" t="s">
        <v>121</v>
      </c>
      <c r="AB66" s="149" t="s">
        <v>123</v>
      </c>
      <c r="AC66" s="149" t="s">
        <v>125</v>
      </c>
      <c r="AD66" s="149" t="s">
        <v>168</v>
      </c>
      <c r="AE66" s="149" t="s">
        <v>169</v>
      </c>
      <c r="AF66" s="149" t="s">
        <v>170</v>
      </c>
      <c r="AG66" s="149" t="s">
        <v>171</v>
      </c>
      <c r="AH66" s="149" t="s">
        <v>172</v>
      </c>
      <c r="AI66" s="149" t="s">
        <v>173</v>
      </c>
      <c r="AJ66" s="149" t="s">
        <v>174</v>
      </c>
      <c r="AK66" s="149" t="s">
        <v>175</v>
      </c>
      <c r="AL66" s="149" t="s">
        <v>176</v>
      </c>
      <c r="AN66" s="151"/>
      <c r="AO66" s="150" t="s">
        <v>112</v>
      </c>
      <c r="AP66" s="150" t="s">
        <v>121</v>
      </c>
    </row>
    <row r="67" customFormat="false" ht="15" hidden="false" customHeight="false" outlineLevel="0" collapsed="false">
      <c r="A67" s="152" t="s">
        <v>33</v>
      </c>
      <c r="B67" s="154"/>
      <c r="C67" s="154"/>
      <c r="D67" s="154"/>
      <c r="E67" s="154"/>
      <c r="F67" s="154"/>
      <c r="G67" s="154"/>
      <c r="H67" s="154"/>
      <c r="I67" s="154"/>
      <c r="J67" s="154"/>
      <c r="K67" s="154"/>
      <c r="L67" s="154"/>
      <c r="M67" s="154"/>
      <c r="N67" s="154"/>
      <c r="O67" s="154"/>
      <c r="P67" s="154"/>
      <c r="R67" s="155" t="s">
        <v>33</v>
      </c>
      <c r="S67" s="153" t="n">
        <v>-3.96</v>
      </c>
      <c r="T67" s="153" t="n">
        <v>-3.96</v>
      </c>
      <c r="W67" s="152" t="s">
        <v>33</v>
      </c>
      <c r="X67" s="154"/>
      <c r="Y67" s="154"/>
      <c r="Z67" s="154"/>
      <c r="AA67" s="154"/>
      <c r="AB67" s="154"/>
      <c r="AC67" s="154"/>
      <c r="AD67" s="154"/>
      <c r="AE67" s="154"/>
      <c r="AF67" s="154"/>
      <c r="AG67" s="154"/>
      <c r="AH67" s="154"/>
      <c r="AI67" s="154"/>
      <c r="AJ67" s="154"/>
      <c r="AK67" s="154"/>
      <c r="AL67" s="154"/>
      <c r="AN67" s="155" t="s">
        <v>33</v>
      </c>
      <c r="AO67" s="156" t="n">
        <v>2</v>
      </c>
      <c r="AP67" s="156" t="n">
        <v>2</v>
      </c>
    </row>
    <row r="68" customFormat="false" ht="15" hidden="false" customHeight="false" outlineLevel="0" collapsed="false">
      <c r="A68" s="152" t="s">
        <v>96</v>
      </c>
      <c r="B68" s="154"/>
      <c r="C68" s="154"/>
      <c r="D68" s="154"/>
      <c r="E68" s="154"/>
      <c r="F68" s="154"/>
      <c r="G68" s="154"/>
      <c r="H68" s="154"/>
      <c r="I68" s="154"/>
      <c r="J68" s="154"/>
      <c r="K68" s="154"/>
      <c r="L68" s="154"/>
      <c r="M68" s="154"/>
      <c r="N68" s="154"/>
      <c r="O68" s="154"/>
      <c r="P68" s="154"/>
      <c r="R68" s="155" t="s">
        <v>177</v>
      </c>
      <c r="S68" s="153" t="n">
        <v>-3.96</v>
      </c>
      <c r="T68" s="153" t="n">
        <v>-3.96</v>
      </c>
      <c r="W68" s="152" t="s">
        <v>96</v>
      </c>
      <c r="X68" s="154"/>
      <c r="Y68" s="154"/>
      <c r="Z68" s="154"/>
      <c r="AA68" s="154"/>
      <c r="AB68" s="154"/>
      <c r="AC68" s="154"/>
      <c r="AD68" s="154"/>
      <c r="AE68" s="154"/>
      <c r="AF68" s="154"/>
      <c r="AG68" s="154"/>
      <c r="AH68" s="154"/>
      <c r="AI68" s="154"/>
      <c r="AJ68" s="154"/>
      <c r="AK68" s="154"/>
      <c r="AL68" s="154"/>
      <c r="AN68" s="155" t="s">
        <v>177</v>
      </c>
      <c r="AO68" s="156" t="n">
        <v>2</v>
      </c>
      <c r="AP68" s="156" t="n">
        <v>2</v>
      </c>
    </row>
    <row r="69" customFormat="false" ht="15" hidden="false" customHeight="false" outlineLevel="0" collapsed="false">
      <c r="A69" s="152" t="s">
        <v>34</v>
      </c>
      <c r="B69" s="154"/>
      <c r="C69" s="154"/>
      <c r="D69" s="153" t="n">
        <v>-3.96</v>
      </c>
      <c r="E69" s="154"/>
      <c r="F69" s="154"/>
      <c r="G69" s="153" t="n">
        <v>-3.96</v>
      </c>
      <c r="H69" s="154"/>
      <c r="I69" s="154"/>
      <c r="J69" s="154"/>
      <c r="K69" s="154"/>
      <c r="L69" s="154"/>
      <c r="M69" s="154"/>
      <c r="N69" s="154"/>
      <c r="O69" s="154"/>
      <c r="P69" s="153" t="n">
        <v>-3.96</v>
      </c>
      <c r="W69" s="152" t="s">
        <v>34</v>
      </c>
      <c r="X69" s="154"/>
      <c r="Y69" s="154"/>
      <c r="Z69" s="156" t="n">
        <v>2</v>
      </c>
      <c r="AA69" s="154"/>
      <c r="AB69" s="154"/>
      <c r="AC69" s="156" t="n">
        <v>2</v>
      </c>
      <c r="AD69" s="154"/>
      <c r="AE69" s="154"/>
      <c r="AF69" s="154"/>
      <c r="AG69" s="154"/>
      <c r="AH69" s="154"/>
      <c r="AI69" s="154"/>
      <c r="AJ69" s="154"/>
      <c r="AK69" s="154"/>
      <c r="AL69" s="156" t="n">
        <v>2</v>
      </c>
    </row>
    <row r="70" customFormat="false" ht="15" hidden="false" customHeight="false" outlineLevel="0" collapsed="false">
      <c r="A70" s="152" t="s">
        <v>97</v>
      </c>
      <c r="B70" s="154"/>
      <c r="C70" s="154"/>
      <c r="D70" s="154"/>
      <c r="E70" s="154"/>
      <c r="F70" s="154"/>
      <c r="G70" s="154"/>
      <c r="H70" s="154"/>
      <c r="I70" s="154"/>
      <c r="J70" s="154"/>
      <c r="K70" s="154"/>
      <c r="L70" s="154"/>
      <c r="M70" s="154"/>
      <c r="N70" s="154"/>
      <c r="O70" s="154"/>
      <c r="P70" s="154"/>
      <c r="W70" s="152" t="s">
        <v>97</v>
      </c>
      <c r="X70" s="154"/>
      <c r="Y70" s="154"/>
      <c r="Z70" s="154"/>
      <c r="AA70" s="154"/>
      <c r="AB70" s="154"/>
      <c r="AC70" s="154"/>
      <c r="AD70" s="154"/>
      <c r="AE70" s="154"/>
      <c r="AF70" s="154"/>
      <c r="AG70" s="154"/>
      <c r="AH70" s="154"/>
      <c r="AI70" s="154"/>
      <c r="AJ70" s="154"/>
      <c r="AK70" s="154"/>
      <c r="AL70" s="154"/>
    </row>
    <row r="71" customFormat="false" ht="15" hidden="false" customHeight="false" outlineLevel="0" collapsed="false">
      <c r="A71" s="152" t="s">
        <v>98</v>
      </c>
      <c r="B71" s="154"/>
      <c r="C71" s="154"/>
      <c r="D71" s="154"/>
      <c r="E71" s="154"/>
      <c r="F71" s="154"/>
      <c r="G71" s="154"/>
      <c r="H71" s="154"/>
      <c r="I71" s="154"/>
      <c r="J71" s="154"/>
      <c r="K71" s="154"/>
      <c r="L71" s="154"/>
      <c r="M71" s="154"/>
      <c r="N71" s="154"/>
      <c r="O71" s="154"/>
      <c r="P71" s="154"/>
      <c r="W71" s="152" t="s">
        <v>98</v>
      </c>
      <c r="X71" s="154"/>
      <c r="Y71" s="154"/>
      <c r="Z71" s="154"/>
      <c r="AA71" s="154"/>
      <c r="AB71" s="154"/>
      <c r="AC71" s="154"/>
      <c r="AD71" s="154"/>
      <c r="AE71" s="154"/>
      <c r="AF71" s="154"/>
      <c r="AG71" s="154"/>
      <c r="AH71" s="154"/>
      <c r="AI71" s="154"/>
      <c r="AJ71" s="154"/>
      <c r="AK71" s="154"/>
      <c r="AL71" s="154"/>
    </row>
    <row r="72" customFormat="false" ht="15" hidden="false" customHeight="false" outlineLevel="0" collapsed="false">
      <c r="A72" s="152" t="s">
        <v>99</v>
      </c>
      <c r="B72" s="154"/>
      <c r="C72" s="154"/>
      <c r="D72" s="153" t="n">
        <v>-3.96</v>
      </c>
      <c r="E72" s="154"/>
      <c r="F72" s="154"/>
      <c r="G72" s="153" t="n">
        <v>-3.96</v>
      </c>
      <c r="H72" s="154"/>
      <c r="I72" s="154"/>
      <c r="J72" s="154"/>
      <c r="K72" s="154"/>
      <c r="L72" s="154"/>
      <c r="M72" s="154"/>
      <c r="N72" s="154"/>
      <c r="O72" s="154"/>
      <c r="P72" s="153" t="n">
        <v>-3.96</v>
      </c>
      <c r="W72" s="152" t="s">
        <v>99</v>
      </c>
      <c r="X72" s="154"/>
      <c r="Y72" s="154"/>
      <c r="Z72" s="156" t="n">
        <v>2</v>
      </c>
      <c r="AA72" s="154"/>
      <c r="AB72" s="154"/>
      <c r="AC72" s="156" t="n">
        <v>2</v>
      </c>
      <c r="AD72" s="154"/>
      <c r="AE72" s="154"/>
      <c r="AF72" s="154"/>
      <c r="AG72" s="154"/>
      <c r="AH72" s="154"/>
      <c r="AI72" s="154"/>
      <c r="AJ72" s="154"/>
      <c r="AK72" s="154"/>
      <c r="AL72" s="156" t="n">
        <v>2</v>
      </c>
    </row>
    <row r="73" customFormat="false" ht="15" hidden="false" customHeight="false" outlineLevel="0" collapsed="false">
      <c r="A73" s="152" t="s">
        <v>177</v>
      </c>
      <c r="B73" s="154"/>
      <c r="C73" s="154"/>
      <c r="D73" s="154"/>
      <c r="E73" s="154"/>
      <c r="F73" s="154"/>
      <c r="G73" s="154"/>
      <c r="H73" s="154"/>
      <c r="I73" s="154"/>
      <c r="J73" s="154"/>
      <c r="K73" s="154"/>
      <c r="L73" s="154"/>
      <c r="M73" s="154"/>
      <c r="N73" s="154"/>
      <c r="O73" s="154"/>
      <c r="P73" s="154"/>
      <c r="W73" s="152" t="s">
        <v>177</v>
      </c>
      <c r="X73" s="154"/>
      <c r="Y73" s="154"/>
      <c r="Z73" s="154"/>
      <c r="AA73" s="154"/>
      <c r="AB73" s="154"/>
      <c r="AC73" s="154"/>
      <c r="AD73" s="154"/>
      <c r="AE73" s="154"/>
      <c r="AF73" s="154"/>
      <c r="AG73" s="154"/>
      <c r="AH73" s="154"/>
      <c r="AI73" s="154"/>
      <c r="AJ73" s="154"/>
      <c r="AK73" s="154"/>
      <c r="AL73" s="154"/>
    </row>
    <row r="74" customFormat="false" ht="15" hidden="false" customHeight="false" outlineLevel="0" collapsed="false">
      <c r="A74" s="152" t="s">
        <v>205</v>
      </c>
      <c r="B74" s="154"/>
      <c r="C74" s="154"/>
      <c r="D74" s="154"/>
      <c r="E74" s="154"/>
      <c r="F74" s="154"/>
      <c r="G74" s="154"/>
      <c r="H74" s="154"/>
      <c r="I74" s="154"/>
      <c r="J74" s="154"/>
      <c r="K74" s="154"/>
      <c r="L74" s="154"/>
      <c r="M74" s="154"/>
      <c r="N74" s="154"/>
      <c r="O74" s="154"/>
      <c r="P74" s="154"/>
      <c r="W74" s="152" t="s">
        <v>205</v>
      </c>
      <c r="X74" s="154"/>
      <c r="Y74" s="154"/>
      <c r="Z74" s="154"/>
      <c r="AA74" s="154"/>
      <c r="AB74" s="154"/>
      <c r="AC74" s="154"/>
      <c r="AD74" s="154"/>
      <c r="AE74" s="154"/>
      <c r="AF74" s="154"/>
      <c r="AG74" s="154"/>
      <c r="AH74" s="154"/>
      <c r="AI74" s="154"/>
      <c r="AJ74" s="154"/>
      <c r="AK74" s="154"/>
      <c r="AL74" s="154"/>
    </row>
    <row r="75" customFormat="false" ht="15" hidden="false" customHeight="false" outlineLevel="0" collapsed="false">
      <c r="A75" s="152" t="s">
        <v>233</v>
      </c>
      <c r="B75" s="154"/>
      <c r="C75" s="154"/>
      <c r="D75" s="154"/>
      <c r="E75" s="154"/>
      <c r="F75" s="154"/>
      <c r="G75" s="154"/>
      <c r="H75" s="154"/>
      <c r="I75" s="154"/>
      <c r="J75" s="154"/>
      <c r="K75" s="154"/>
      <c r="L75" s="154"/>
      <c r="M75" s="154"/>
      <c r="N75" s="154"/>
      <c r="O75" s="154"/>
      <c r="P75" s="154"/>
      <c r="W75" s="152" t="s">
        <v>233</v>
      </c>
      <c r="X75" s="154"/>
      <c r="Y75" s="154"/>
      <c r="Z75" s="154"/>
      <c r="AA75" s="154"/>
      <c r="AB75" s="154"/>
      <c r="AC75" s="154"/>
      <c r="AD75" s="154"/>
      <c r="AE75" s="154"/>
      <c r="AF75" s="154"/>
      <c r="AG75" s="154"/>
      <c r="AH75" s="154"/>
      <c r="AI75" s="154"/>
      <c r="AJ75" s="154"/>
      <c r="AK75" s="154"/>
      <c r="AL75" s="154"/>
    </row>
    <row r="76" customFormat="false" ht="15" hidden="false" customHeight="false" outlineLevel="0" collapsed="false">
      <c r="A76" s="152" t="s">
        <v>186</v>
      </c>
      <c r="B76" s="154"/>
      <c r="C76" s="154"/>
      <c r="D76" s="154"/>
      <c r="E76" s="154"/>
      <c r="F76" s="154"/>
      <c r="G76" s="154"/>
      <c r="H76" s="154"/>
      <c r="I76" s="154"/>
      <c r="J76" s="154"/>
      <c r="K76" s="154"/>
      <c r="L76" s="154"/>
      <c r="M76" s="154"/>
      <c r="N76" s="154"/>
      <c r="O76" s="154"/>
      <c r="P76" s="154"/>
      <c r="W76" s="152" t="s">
        <v>186</v>
      </c>
      <c r="X76" s="154"/>
      <c r="Y76" s="154"/>
      <c r="Z76" s="154"/>
      <c r="AA76" s="154"/>
      <c r="AB76" s="154"/>
      <c r="AC76" s="154"/>
      <c r="AD76" s="154"/>
      <c r="AE76" s="154"/>
      <c r="AF76" s="154"/>
      <c r="AG76" s="154"/>
      <c r="AH76" s="154"/>
      <c r="AI76" s="154"/>
      <c r="AJ76" s="154"/>
      <c r="AK76" s="154"/>
      <c r="AL76" s="154"/>
    </row>
    <row r="77" customFormat="false" ht="15" hidden="false" customHeight="false" outlineLevel="0" collapsed="false">
      <c r="A77" s="152" t="s">
        <v>215</v>
      </c>
      <c r="B77" s="154"/>
      <c r="C77" s="154"/>
      <c r="D77" s="154"/>
      <c r="E77" s="154"/>
      <c r="F77" s="154"/>
      <c r="G77" s="154"/>
      <c r="H77" s="154"/>
      <c r="I77" s="154"/>
      <c r="J77" s="154"/>
      <c r="K77" s="154"/>
      <c r="L77" s="154"/>
      <c r="M77" s="154"/>
      <c r="N77" s="154"/>
      <c r="O77" s="154"/>
      <c r="P77" s="154"/>
      <c r="W77" s="152" t="s">
        <v>215</v>
      </c>
      <c r="X77" s="154"/>
      <c r="Y77" s="154"/>
      <c r="Z77" s="154"/>
      <c r="AA77" s="154"/>
      <c r="AB77" s="154"/>
      <c r="AC77" s="154"/>
      <c r="AD77" s="154"/>
      <c r="AE77" s="154"/>
      <c r="AF77" s="154"/>
      <c r="AG77" s="154"/>
      <c r="AH77" s="154"/>
      <c r="AI77" s="154"/>
      <c r="AJ77" s="154"/>
      <c r="AK77" s="154"/>
      <c r="AL77" s="154"/>
    </row>
    <row r="78" customFormat="false" ht="15" hidden="false" customHeight="false" outlineLevel="0" collapsed="false">
      <c r="A78" s="152" t="s">
        <v>243</v>
      </c>
      <c r="B78" s="154"/>
      <c r="C78" s="154"/>
      <c r="D78" s="154"/>
      <c r="E78" s="154"/>
      <c r="F78" s="154"/>
      <c r="G78" s="154"/>
      <c r="H78" s="154"/>
      <c r="I78" s="154"/>
      <c r="J78" s="154"/>
      <c r="K78" s="154"/>
      <c r="L78" s="154"/>
      <c r="M78" s="154"/>
      <c r="N78" s="154"/>
      <c r="O78" s="154"/>
      <c r="P78" s="154"/>
      <c r="W78" s="152" t="s">
        <v>243</v>
      </c>
      <c r="X78" s="154"/>
      <c r="Y78" s="154"/>
      <c r="Z78" s="154"/>
      <c r="AA78" s="154"/>
      <c r="AB78" s="154"/>
      <c r="AC78" s="154"/>
      <c r="AD78" s="154"/>
      <c r="AE78" s="154"/>
      <c r="AF78" s="154"/>
      <c r="AG78" s="154"/>
      <c r="AH78" s="154"/>
      <c r="AI78" s="154"/>
      <c r="AJ78" s="154"/>
      <c r="AK78" s="154"/>
      <c r="AL78" s="154"/>
    </row>
    <row r="79" customFormat="false" ht="15" hidden="false" customHeight="false" outlineLevel="0" collapsed="false">
      <c r="A79" s="152" t="s">
        <v>195</v>
      </c>
      <c r="B79" s="154"/>
      <c r="C79" s="154"/>
      <c r="D79" s="154"/>
      <c r="E79" s="154"/>
      <c r="F79" s="154"/>
      <c r="G79" s="154"/>
      <c r="H79" s="154"/>
      <c r="I79" s="154"/>
      <c r="J79" s="154"/>
      <c r="K79" s="154"/>
      <c r="L79" s="154"/>
      <c r="M79" s="154"/>
      <c r="N79" s="154"/>
      <c r="O79" s="154"/>
      <c r="P79" s="154"/>
      <c r="W79" s="152" t="s">
        <v>195</v>
      </c>
      <c r="X79" s="154"/>
      <c r="Y79" s="154"/>
      <c r="Z79" s="154"/>
      <c r="AA79" s="154"/>
      <c r="AB79" s="154"/>
      <c r="AC79" s="154"/>
      <c r="AD79" s="154"/>
      <c r="AE79" s="154"/>
      <c r="AF79" s="154"/>
      <c r="AG79" s="154"/>
      <c r="AH79" s="154"/>
      <c r="AI79" s="154"/>
      <c r="AJ79" s="154"/>
      <c r="AK79" s="154"/>
      <c r="AL79" s="154"/>
    </row>
    <row r="80" customFormat="false" ht="15" hidden="false" customHeight="false" outlineLevel="0" collapsed="false">
      <c r="A80" s="152" t="s">
        <v>223</v>
      </c>
      <c r="B80" s="154"/>
      <c r="C80" s="154"/>
      <c r="D80" s="154"/>
      <c r="E80" s="154"/>
      <c r="F80" s="154"/>
      <c r="G80" s="154"/>
      <c r="H80" s="154"/>
      <c r="I80" s="154"/>
      <c r="J80" s="154"/>
      <c r="K80" s="154"/>
      <c r="L80" s="154"/>
      <c r="M80" s="154"/>
      <c r="N80" s="154"/>
      <c r="O80" s="154"/>
      <c r="P80" s="154"/>
      <c r="W80" s="152" t="s">
        <v>223</v>
      </c>
      <c r="X80" s="154"/>
      <c r="Y80" s="154"/>
      <c r="Z80" s="154"/>
      <c r="AA80" s="154"/>
      <c r="AB80" s="154"/>
      <c r="AC80" s="154"/>
      <c r="AD80" s="154"/>
      <c r="AE80" s="154"/>
      <c r="AF80" s="154"/>
      <c r="AG80" s="154"/>
      <c r="AH80" s="154"/>
      <c r="AI80" s="154"/>
      <c r="AJ80" s="154"/>
      <c r="AK80" s="154"/>
      <c r="AL80" s="154"/>
    </row>
    <row r="81" customFormat="false" ht="15" hidden="false" customHeight="false" outlineLevel="0" collapsed="false">
      <c r="A81" s="152" t="s">
        <v>250</v>
      </c>
      <c r="B81" s="154"/>
      <c r="C81" s="154"/>
      <c r="D81" s="153" t="n">
        <v>-3.96</v>
      </c>
      <c r="E81" s="154"/>
      <c r="F81" s="154"/>
      <c r="G81" s="153" t="n">
        <v>-3.96</v>
      </c>
      <c r="H81" s="154"/>
      <c r="I81" s="154"/>
      <c r="J81" s="154"/>
      <c r="K81" s="154"/>
      <c r="L81" s="154"/>
      <c r="M81" s="154"/>
      <c r="N81" s="154"/>
      <c r="O81" s="154"/>
      <c r="P81" s="153" t="n">
        <v>-3.96</v>
      </c>
      <c r="W81" s="152" t="s">
        <v>250</v>
      </c>
      <c r="X81" s="154"/>
      <c r="Y81" s="154"/>
      <c r="Z81" s="156" t="n">
        <v>2</v>
      </c>
      <c r="AA81" s="154"/>
      <c r="AB81" s="154"/>
      <c r="AC81" s="156" t="n">
        <v>2</v>
      </c>
      <c r="AD81" s="154"/>
      <c r="AE81" s="154"/>
      <c r="AF81" s="154"/>
      <c r="AG81" s="154"/>
      <c r="AH81" s="154"/>
      <c r="AI81" s="154"/>
      <c r="AJ81" s="154"/>
      <c r="AK81" s="154"/>
      <c r="AL81" s="156" t="n">
        <v>2</v>
      </c>
    </row>
    <row r="85" customFormat="false" ht="15" hidden="false" customHeight="false" outlineLevel="0" collapsed="false">
      <c r="A85" s="148" t="s">
        <v>1089</v>
      </c>
      <c r="B85" s="148"/>
      <c r="C85" s="148"/>
      <c r="D85" s="148"/>
      <c r="E85" s="148"/>
      <c r="F85" s="148"/>
      <c r="G85" s="148"/>
      <c r="H85" s="148"/>
      <c r="I85" s="148"/>
      <c r="J85" s="148"/>
      <c r="K85" s="148"/>
      <c r="L85" s="148"/>
      <c r="M85" s="148"/>
      <c r="N85" s="148"/>
      <c r="O85" s="148"/>
      <c r="P85" s="148"/>
      <c r="R85" s="148" t="s">
        <v>1090</v>
      </c>
      <c r="S85" s="148"/>
      <c r="T85" s="148"/>
      <c r="W85" s="148" t="s">
        <v>1091</v>
      </c>
      <c r="X85" s="148"/>
      <c r="Y85" s="148"/>
      <c r="Z85" s="148"/>
      <c r="AA85" s="148"/>
      <c r="AB85" s="148"/>
      <c r="AC85" s="148"/>
      <c r="AD85" s="148"/>
      <c r="AE85" s="148"/>
      <c r="AF85" s="148"/>
      <c r="AG85" s="148"/>
      <c r="AH85" s="148"/>
      <c r="AI85" s="148"/>
      <c r="AJ85" s="148"/>
      <c r="AK85" s="148"/>
      <c r="AL85" s="148"/>
      <c r="AN85" s="148" t="s">
        <v>1090</v>
      </c>
      <c r="AO85" s="148"/>
      <c r="AP85" s="148"/>
    </row>
    <row r="86" customFormat="false" ht="15" hidden="false" customHeight="false" outlineLevel="0" collapsed="false">
      <c r="A86" s="123"/>
      <c r="B86" s="149" t="s">
        <v>112</v>
      </c>
      <c r="C86" s="149" t="s">
        <v>115</v>
      </c>
      <c r="D86" s="149" t="s">
        <v>119</v>
      </c>
      <c r="E86" s="149" t="s">
        <v>121</v>
      </c>
      <c r="F86" s="149" t="s">
        <v>123</v>
      </c>
      <c r="G86" s="149" t="s">
        <v>125</v>
      </c>
      <c r="H86" s="149" t="s">
        <v>168</v>
      </c>
      <c r="I86" s="149" t="s">
        <v>169</v>
      </c>
      <c r="J86" s="149" t="s">
        <v>170</v>
      </c>
      <c r="K86" s="149" t="s">
        <v>171</v>
      </c>
      <c r="L86" s="149" t="s">
        <v>172</v>
      </c>
      <c r="M86" s="149" t="s">
        <v>173</v>
      </c>
      <c r="N86" s="149" t="s">
        <v>174</v>
      </c>
      <c r="O86" s="149" t="s">
        <v>175</v>
      </c>
      <c r="P86" s="149" t="s">
        <v>176</v>
      </c>
      <c r="R86" s="151"/>
      <c r="S86" s="150" t="s">
        <v>112</v>
      </c>
      <c r="T86" s="150" t="s">
        <v>121</v>
      </c>
      <c r="W86" s="123"/>
      <c r="X86" s="149" t="s">
        <v>112</v>
      </c>
      <c r="Y86" s="149" t="s">
        <v>115</v>
      </c>
      <c r="Z86" s="149" t="s">
        <v>119</v>
      </c>
      <c r="AA86" s="149" t="s">
        <v>121</v>
      </c>
      <c r="AB86" s="149" t="s">
        <v>123</v>
      </c>
      <c r="AC86" s="149" t="s">
        <v>125</v>
      </c>
      <c r="AD86" s="149" t="s">
        <v>168</v>
      </c>
      <c r="AE86" s="149" t="s">
        <v>169</v>
      </c>
      <c r="AF86" s="149" t="s">
        <v>170</v>
      </c>
      <c r="AG86" s="149" t="s">
        <v>171</v>
      </c>
      <c r="AH86" s="149" t="s">
        <v>172</v>
      </c>
      <c r="AI86" s="149" t="s">
        <v>173</v>
      </c>
      <c r="AJ86" s="149" t="s">
        <v>174</v>
      </c>
      <c r="AK86" s="149" t="s">
        <v>175</v>
      </c>
      <c r="AL86" s="149" t="s">
        <v>176</v>
      </c>
      <c r="AN86" s="151"/>
      <c r="AO86" s="150" t="s">
        <v>112</v>
      </c>
      <c r="AP86" s="150" t="s">
        <v>121</v>
      </c>
    </row>
    <row r="87" customFormat="false" ht="15" hidden="false" customHeight="false" outlineLevel="0" collapsed="false">
      <c r="A87" s="152" t="s">
        <v>33</v>
      </c>
      <c r="B87" s="154"/>
      <c r="C87" s="154"/>
      <c r="D87" s="154"/>
      <c r="E87" s="154"/>
      <c r="F87" s="154"/>
      <c r="G87" s="154"/>
      <c r="H87" s="154"/>
      <c r="I87" s="154"/>
      <c r="J87" s="154"/>
      <c r="K87" s="154"/>
      <c r="L87" s="154"/>
      <c r="M87" s="154"/>
      <c r="N87" s="154"/>
      <c r="O87" s="154"/>
      <c r="P87" s="154"/>
      <c r="R87" s="155" t="s">
        <v>33</v>
      </c>
      <c r="S87" s="153" t="n">
        <v>3.96</v>
      </c>
      <c r="T87" s="153" t="n">
        <v>3.96</v>
      </c>
      <c r="W87" s="152" t="s">
        <v>33</v>
      </c>
      <c r="X87" s="154"/>
      <c r="Y87" s="154"/>
      <c r="Z87" s="154"/>
      <c r="AA87" s="154"/>
      <c r="AB87" s="154"/>
      <c r="AC87" s="154"/>
      <c r="AD87" s="154"/>
      <c r="AE87" s="154"/>
      <c r="AF87" s="154"/>
      <c r="AG87" s="154"/>
      <c r="AH87" s="154"/>
      <c r="AI87" s="154"/>
      <c r="AJ87" s="154"/>
      <c r="AK87" s="154"/>
      <c r="AL87" s="154"/>
      <c r="AN87" s="155" t="s">
        <v>33</v>
      </c>
      <c r="AO87" s="153" t="n">
        <v>0</v>
      </c>
      <c r="AP87" s="153" t="n">
        <v>0</v>
      </c>
    </row>
    <row r="88" customFormat="false" ht="15" hidden="false" customHeight="false" outlineLevel="0" collapsed="false">
      <c r="A88" s="152" t="s">
        <v>96</v>
      </c>
      <c r="B88" s="154"/>
      <c r="C88" s="154"/>
      <c r="D88" s="154"/>
      <c r="E88" s="154"/>
      <c r="F88" s="154"/>
      <c r="G88" s="154"/>
      <c r="H88" s="154"/>
      <c r="I88" s="154"/>
      <c r="J88" s="154"/>
      <c r="K88" s="154"/>
      <c r="L88" s="154"/>
      <c r="M88" s="154"/>
      <c r="N88" s="154"/>
      <c r="O88" s="154"/>
      <c r="P88" s="154"/>
      <c r="R88" s="155" t="s">
        <v>177</v>
      </c>
      <c r="S88" s="153" t="n">
        <v>3.96</v>
      </c>
      <c r="T88" s="153" t="n">
        <v>3.96</v>
      </c>
      <c r="W88" s="152" t="s">
        <v>96</v>
      </c>
      <c r="X88" s="154"/>
      <c r="Y88" s="154"/>
      <c r="Z88" s="154"/>
      <c r="AA88" s="154"/>
      <c r="AB88" s="154"/>
      <c r="AC88" s="154"/>
      <c r="AD88" s="154"/>
      <c r="AE88" s="154"/>
      <c r="AF88" s="154"/>
      <c r="AG88" s="154"/>
      <c r="AH88" s="154"/>
      <c r="AI88" s="154"/>
      <c r="AJ88" s="154"/>
      <c r="AK88" s="154"/>
      <c r="AL88" s="154"/>
      <c r="AN88" s="155" t="s">
        <v>177</v>
      </c>
      <c r="AO88" s="153" t="n">
        <v>0</v>
      </c>
      <c r="AP88" s="153" t="n">
        <v>0</v>
      </c>
    </row>
    <row r="89" customFormat="false" ht="15" hidden="false" customHeight="false" outlineLevel="0" collapsed="false">
      <c r="A89" s="152" t="s">
        <v>34</v>
      </c>
      <c r="B89" s="154"/>
      <c r="C89" s="154"/>
      <c r="D89" s="153" t="n">
        <v>3.96</v>
      </c>
      <c r="E89" s="154"/>
      <c r="F89" s="154"/>
      <c r="G89" s="153" t="n">
        <v>3.96</v>
      </c>
      <c r="H89" s="154"/>
      <c r="I89" s="154"/>
      <c r="J89" s="154"/>
      <c r="K89" s="154"/>
      <c r="L89" s="154"/>
      <c r="M89" s="154"/>
      <c r="N89" s="154"/>
      <c r="O89" s="154"/>
      <c r="P89" s="153" t="n">
        <v>3.96</v>
      </c>
      <c r="W89" s="152" t="s">
        <v>34</v>
      </c>
      <c r="X89" s="154"/>
      <c r="Y89" s="154"/>
      <c r="Z89" s="154"/>
      <c r="AA89" s="154"/>
      <c r="AB89" s="154"/>
      <c r="AC89" s="154"/>
      <c r="AD89" s="154"/>
      <c r="AE89" s="154"/>
      <c r="AF89" s="154"/>
      <c r="AG89" s="154"/>
      <c r="AH89" s="154"/>
      <c r="AI89" s="154"/>
      <c r="AJ89" s="154"/>
      <c r="AK89" s="154"/>
      <c r="AL89" s="154"/>
    </row>
    <row r="90" customFormat="false" ht="15" hidden="false" customHeight="false" outlineLevel="0" collapsed="false">
      <c r="A90" s="152" t="s">
        <v>97</v>
      </c>
      <c r="B90" s="154"/>
      <c r="C90" s="154"/>
      <c r="D90" s="154"/>
      <c r="E90" s="154"/>
      <c r="F90" s="154"/>
      <c r="G90" s="154"/>
      <c r="H90" s="154"/>
      <c r="I90" s="154"/>
      <c r="J90" s="154"/>
      <c r="K90" s="154"/>
      <c r="L90" s="154"/>
      <c r="M90" s="154"/>
      <c r="N90" s="154"/>
      <c r="O90" s="154"/>
      <c r="P90" s="154"/>
      <c r="W90" s="152" t="s">
        <v>97</v>
      </c>
      <c r="X90" s="154"/>
      <c r="Y90" s="154"/>
      <c r="Z90" s="154"/>
      <c r="AA90" s="154"/>
      <c r="AB90" s="154"/>
      <c r="AC90" s="154"/>
      <c r="AD90" s="154"/>
      <c r="AE90" s="154"/>
      <c r="AF90" s="154"/>
      <c r="AG90" s="154"/>
      <c r="AH90" s="154"/>
      <c r="AI90" s="154"/>
      <c r="AJ90" s="154"/>
      <c r="AK90" s="154"/>
      <c r="AL90" s="154"/>
    </row>
    <row r="91" customFormat="false" ht="15" hidden="false" customHeight="false" outlineLevel="0" collapsed="false">
      <c r="A91" s="152" t="s">
        <v>98</v>
      </c>
      <c r="B91" s="154"/>
      <c r="C91" s="154"/>
      <c r="D91" s="154"/>
      <c r="E91" s="154"/>
      <c r="F91" s="154"/>
      <c r="G91" s="154"/>
      <c r="H91" s="154"/>
      <c r="I91" s="154"/>
      <c r="J91" s="154"/>
      <c r="K91" s="154"/>
      <c r="L91" s="154"/>
      <c r="M91" s="154"/>
      <c r="N91" s="154"/>
      <c r="O91" s="154"/>
      <c r="P91" s="154"/>
      <c r="W91" s="152" t="s">
        <v>98</v>
      </c>
      <c r="X91" s="154"/>
      <c r="Y91" s="154"/>
      <c r="Z91" s="154"/>
      <c r="AA91" s="154"/>
      <c r="AB91" s="154"/>
      <c r="AC91" s="154"/>
      <c r="AD91" s="154"/>
      <c r="AE91" s="154"/>
      <c r="AF91" s="154"/>
      <c r="AG91" s="154"/>
      <c r="AH91" s="154"/>
      <c r="AI91" s="154"/>
      <c r="AJ91" s="154"/>
      <c r="AK91" s="154"/>
      <c r="AL91" s="154"/>
    </row>
    <row r="92" customFormat="false" ht="15" hidden="false" customHeight="false" outlineLevel="0" collapsed="false">
      <c r="A92" s="152" t="s">
        <v>99</v>
      </c>
      <c r="B92" s="154"/>
      <c r="C92" s="154"/>
      <c r="D92" s="153" t="n">
        <v>3.96</v>
      </c>
      <c r="E92" s="154"/>
      <c r="F92" s="154"/>
      <c r="G92" s="153" t="n">
        <v>3.96</v>
      </c>
      <c r="H92" s="154"/>
      <c r="I92" s="154"/>
      <c r="J92" s="154"/>
      <c r="K92" s="154"/>
      <c r="L92" s="154"/>
      <c r="M92" s="154"/>
      <c r="N92" s="154"/>
      <c r="O92" s="154"/>
      <c r="P92" s="153" t="n">
        <v>3.96</v>
      </c>
      <c r="W92" s="152" t="s">
        <v>99</v>
      </c>
      <c r="X92" s="154"/>
      <c r="Y92" s="154"/>
      <c r="Z92" s="154"/>
      <c r="AA92" s="154"/>
      <c r="AB92" s="154"/>
      <c r="AC92" s="154"/>
      <c r="AD92" s="154"/>
      <c r="AE92" s="154"/>
      <c r="AF92" s="154"/>
      <c r="AG92" s="154"/>
      <c r="AH92" s="154"/>
      <c r="AI92" s="154"/>
      <c r="AJ92" s="154"/>
      <c r="AK92" s="154"/>
      <c r="AL92" s="154"/>
    </row>
    <row r="93" customFormat="false" ht="15" hidden="false" customHeight="false" outlineLevel="0" collapsed="false">
      <c r="A93" s="152" t="s">
        <v>177</v>
      </c>
      <c r="B93" s="154"/>
      <c r="C93" s="154"/>
      <c r="D93" s="154"/>
      <c r="E93" s="154"/>
      <c r="F93" s="154"/>
      <c r="G93" s="154"/>
      <c r="H93" s="154"/>
      <c r="I93" s="154"/>
      <c r="J93" s="154"/>
      <c r="K93" s="154"/>
      <c r="L93" s="154"/>
      <c r="M93" s="154"/>
      <c r="N93" s="154"/>
      <c r="O93" s="154"/>
      <c r="P93" s="154"/>
      <c r="W93" s="152" t="s">
        <v>177</v>
      </c>
      <c r="X93" s="154"/>
      <c r="Y93" s="154"/>
      <c r="Z93" s="154"/>
      <c r="AA93" s="154"/>
      <c r="AB93" s="154"/>
      <c r="AC93" s="154"/>
      <c r="AD93" s="154"/>
      <c r="AE93" s="154"/>
      <c r="AF93" s="154"/>
      <c r="AG93" s="154"/>
      <c r="AH93" s="154"/>
      <c r="AI93" s="154"/>
      <c r="AJ93" s="154"/>
      <c r="AK93" s="154"/>
      <c r="AL93" s="154"/>
    </row>
    <row r="94" customFormat="false" ht="15" hidden="false" customHeight="false" outlineLevel="0" collapsed="false">
      <c r="A94" s="152" t="s">
        <v>205</v>
      </c>
      <c r="B94" s="154"/>
      <c r="C94" s="154"/>
      <c r="D94" s="154"/>
      <c r="E94" s="154"/>
      <c r="F94" s="154"/>
      <c r="G94" s="154"/>
      <c r="H94" s="154"/>
      <c r="I94" s="154"/>
      <c r="J94" s="154"/>
      <c r="K94" s="154"/>
      <c r="L94" s="154"/>
      <c r="M94" s="154"/>
      <c r="N94" s="154"/>
      <c r="O94" s="154"/>
      <c r="P94" s="154"/>
      <c r="W94" s="152" t="s">
        <v>205</v>
      </c>
      <c r="X94" s="154"/>
      <c r="Y94" s="154"/>
      <c r="Z94" s="154"/>
      <c r="AA94" s="154"/>
      <c r="AB94" s="154"/>
      <c r="AC94" s="154"/>
      <c r="AD94" s="154"/>
      <c r="AE94" s="154"/>
      <c r="AF94" s="154"/>
      <c r="AG94" s="154"/>
      <c r="AH94" s="154"/>
      <c r="AI94" s="154"/>
      <c r="AJ94" s="154"/>
      <c r="AK94" s="154"/>
      <c r="AL94" s="154"/>
    </row>
    <row r="95" customFormat="false" ht="15" hidden="false" customHeight="false" outlineLevel="0" collapsed="false">
      <c r="A95" s="152" t="s">
        <v>233</v>
      </c>
      <c r="B95" s="154"/>
      <c r="C95" s="154"/>
      <c r="D95" s="154"/>
      <c r="E95" s="154"/>
      <c r="F95" s="154"/>
      <c r="G95" s="154"/>
      <c r="H95" s="154"/>
      <c r="I95" s="154"/>
      <c r="J95" s="154"/>
      <c r="K95" s="154"/>
      <c r="L95" s="154"/>
      <c r="M95" s="154"/>
      <c r="N95" s="154"/>
      <c r="O95" s="154"/>
      <c r="P95" s="154"/>
      <c r="W95" s="152" t="s">
        <v>233</v>
      </c>
      <c r="X95" s="154"/>
      <c r="Y95" s="154"/>
      <c r="Z95" s="154"/>
      <c r="AA95" s="154"/>
      <c r="AB95" s="154"/>
      <c r="AC95" s="154"/>
      <c r="AD95" s="154"/>
      <c r="AE95" s="154"/>
      <c r="AF95" s="154"/>
      <c r="AG95" s="154"/>
      <c r="AH95" s="154"/>
      <c r="AI95" s="154"/>
      <c r="AJ95" s="154"/>
      <c r="AK95" s="154"/>
      <c r="AL95" s="154"/>
    </row>
    <row r="96" customFormat="false" ht="15" hidden="false" customHeight="false" outlineLevel="0" collapsed="false">
      <c r="A96" s="152" t="s">
        <v>186</v>
      </c>
      <c r="B96" s="154"/>
      <c r="C96" s="154"/>
      <c r="D96" s="154"/>
      <c r="E96" s="154"/>
      <c r="F96" s="154"/>
      <c r="G96" s="154"/>
      <c r="H96" s="154"/>
      <c r="I96" s="154"/>
      <c r="J96" s="154"/>
      <c r="K96" s="154"/>
      <c r="L96" s="154"/>
      <c r="M96" s="154"/>
      <c r="N96" s="154"/>
      <c r="O96" s="154"/>
      <c r="P96" s="154"/>
      <c r="W96" s="152" t="s">
        <v>186</v>
      </c>
      <c r="X96" s="154"/>
      <c r="Y96" s="154"/>
      <c r="Z96" s="154"/>
      <c r="AA96" s="154"/>
      <c r="AB96" s="154"/>
      <c r="AC96" s="154"/>
      <c r="AD96" s="154"/>
      <c r="AE96" s="154"/>
      <c r="AF96" s="154"/>
      <c r="AG96" s="154"/>
      <c r="AH96" s="154"/>
      <c r="AI96" s="154"/>
      <c r="AJ96" s="154"/>
      <c r="AK96" s="154"/>
      <c r="AL96" s="154"/>
    </row>
    <row r="97" customFormat="false" ht="15" hidden="false" customHeight="false" outlineLevel="0" collapsed="false">
      <c r="A97" s="152" t="s">
        <v>215</v>
      </c>
      <c r="B97" s="154"/>
      <c r="C97" s="154"/>
      <c r="D97" s="154"/>
      <c r="E97" s="154"/>
      <c r="F97" s="154"/>
      <c r="G97" s="154"/>
      <c r="H97" s="154"/>
      <c r="I97" s="154"/>
      <c r="J97" s="154"/>
      <c r="K97" s="154"/>
      <c r="L97" s="154"/>
      <c r="M97" s="154"/>
      <c r="N97" s="154"/>
      <c r="O97" s="154"/>
      <c r="P97" s="154"/>
      <c r="W97" s="152" t="s">
        <v>215</v>
      </c>
      <c r="X97" s="154"/>
      <c r="Y97" s="154"/>
      <c r="Z97" s="154"/>
      <c r="AA97" s="154"/>
      <c r="AB97" s="154"/>
      <c r="AC97" s="154"/>
      <c r="AD97" s="154"/>
      <c r="AE97" s="154"/>
      <c r="AF97" s="154"/>
      <c r="AG97" s="154"/>
      <c r="AH97" s="154"/>
      <c r="AI97" s="154"/>
      <c r="AJ97" s="154"/>
      <c r="AK97" s="154"/>
      <c r="AL97" s="154"/>
    </row>
    <row r="98" customFormat="false" ht="15" hidden="false" customHeight="false" outlineLevel="0" collapsed="false">
      <c r="A98" s="152" t="s">
        <v>243</v>
      </c>
      <c r="B98" s="154"/>
      <c r="C98" s="154"/>
      <c r="D98" s="154"/>
      <c r="E98" s="154"/>
      <c r="F98" s="154"/>
      <c r="G98" s="154"/>
      <c r="H98" s="154"/>
      <c r="I98" s="154"/>
      <c r="J98" s="154"/>
      <c r="K98" s="154"/>
      <c r="L98" s="154"/>
      <c r="M98" s="154"/>
      <c r="N98" s="154"/>
      <c r="O98" s="154"/>
      <c r="P98" s="154"/>
      <c r="W98" s="152" t="s">
        <v>243</v>
      </c>
      <c r="X98" s="154"/>
      <c r="Y98" s="154"/>
      <c r="Z98" s="154"/>
      <c r="AA98" s="154"/>
      <c r="AB98" s="154"/>
      <c r="AC98" s="154"/>
      <c r="AD98" s="154"/>
      <c r="AE98" s="154"/>
      <c r="AF98" s="154"/>
      <c r="AG98" s="154"/>
      <c r="AH98" s="154"/>
      <c r="AI98" s="154"/>
      <c r="AJ98" s="154"/>
      <c r="AK98" s="154"/>
      <c r="AL98" s="154"/>
    </row>
    <row r="99" customFormat="false" ht="15" hidden="false" customHeight="false" outlineLevel="0" collapsed="false">
      <c r="A99" s="152" t="s">
        <v>195</v>
      </c>
      <c r="B99" s="154"/>
      <c r="C99" s="154"/>
      <c r="D99" s="154"/>
      <c r="E99" s="154"/>
      <c r="F99" s="154"/>
      <c r="G99" s="154"/>
      <c r="H99" s="154"/>
      <c r="I99" s="154"/>
      <c r="J99" s="154"/>
      <c r="K99" s="154"/>
      <c r="L99" s="154"/>
      <c r="M99" s="154"/>
      <c r="N99" s="154"/>
      <c r="O99" s="154"/>
      <c r="P99" s="154"/>
      <c r="W99" s="152" t="s">
        <v>195</v>
      </c>
      <c r="X99" s="154"/>
      <c r="Y99" s="154"/>
      <c r="Z99" s="154"/>
      <c r="AA99" s="154"/>
      <c r="AB99" s="154"/>
      <c r="AC99" s="154"/>
      <c r="AD99" s="154"/>
      <c r="AE99" s="154"/>
      <c r="AF99" s="154"/>
      <c r="AG99" s="154"/>
      <c r="AH99" s="154"/>
      <c r="AI99" s="154"/>
      <c r="AJ99" s="154"/>
      <c r="AK99" s="154"/>
      <c r="AL99" s="154"/>
    </row>
    <row r="100" customFormat="false" ht="15" hidden="false" customHeight="false" outlineLevel="0" collapsed="false">
      <c r="A100" s="152" t="s">
        <v>223</v>
      </c>
      <c r="B100" s="154"/>
      <c r="C100" s="154"/>
      <c r="D100" s="154"/>
      <c r="E100" s="154"/>
      <c r="F100" s="154"/>
      <c r="G100" s="154"/>
      <c r="H100" s="154"/>
      <c r="I100" s="154"/>
      <c r="J100" s="154"/>
      <c r="K100" s="154"/>
      <c r="L100" s="154"/>
      <c r="M100" s="154"/>
      <c r="N100" s="154"/>
      <c r="O100" s="154"/>
      <c r="P100" s="154"/>
      <c r="W100" s="152" t="s">
        <v>223</v>
      </c>
      <c r="X100" s="154"/>
      <c r="Y100" s="154"/>
      <c r="Z100" s="154"/>
      <c r="AA100" s="154"/>
      <c r="AB100" s="154"/>
      <c r="AC100" s="154"/>
      <c r="AD100" s="154"/>
      <c r="AE100" s="154"/>
      <c r="AF100" s="154"/>
      <c r="AG100" s="154"/>
      <c r="AH100" s="154"/>
      <c r="AI100" s="154"/>
      <c r="AJ100" s="154"/>
      <c r="AK100" s="154"/>
      <c r="AL100" s="154"/>
    </row>
    <row r="101" customFormat="false" ht="15" hidden="false" customHeight="false" outlineLevel="0" collapsed="false">
      <c r="A101" s="152" t="s">
        <v>250</v>
      </c>
      <c r="B101" s="154"/>
      <c r="C101" s="154"/>
      <c r="D101" s="153" t="n">
        <v>3.96</v>
      </c>
      <c r="E101" s="154"/>
      <c r="F101" s="154"/>
      <c r="G101" s="153" t="n">
        <v>3.96</v>
      </c>
      <c r="H101" s="154"/>
      <c r="I101" s="154"/>
      <c r="J101" s="154"/>
      <c r="K101" s="154"/>
      <c r="L101" s="154"/>
      <c r="M101" s="154"/>
      <c r="N101" s="154"/>
      <c r="O101" s="154"/>
      <c r="P101" s="153" t="n">
        <v>3.96</v>
      </c>
      <c r="W101" s="152" t="s">
        <v>250</v>
      </c>
      <c r="X101" s="154"/>
      <c r="Y101" s="154"/>
      <c r="Z101" s="154"/>
      <c r="AA101" s="154"/>
      <c r="AB101" s="154"/>
      <c r="AC101" s="154"/>
      <c r="AD101" s="154"/>
      <c r="AE101" s="154"/>
      <c r="AF101" s="154"/>
      <c r="AG101" s="154"/>
      <c r="AH101" s="154"/>
      <c r="AI101" s="154"/>
      <c r="AJ101" s="154"/>
      <c r="AK101" s="154"/>
      <c r="AL101" s="154"/>
    </row>
    <row r="107" customFormat="false" ht="15" hidden="false" customHeight="false" outlineLevel="0" collapsed="false">
      <c r="A107" s="148" t="s">
        <v>1092</v>
      </c>
      <c r="B107" s="148"/>
      <c r="C107" s="148"/>
      <c r="D107" s="148"/>
      <c r="E107" s="148"/>
      <c r="F107" s="148"/>
      <c r="G107" s="148"/>
      <c r="H107" s="148"/>
      <c r="I107" s="148"/>
      <c r="J107" s="148"/>
      <c r="K107" s="148"/>
      <c r="L107" s="148"/>
      <c r="M107" s="148"/>
      <c r="N107" s="148"/>
      <c r="O107" s="148"/>
      <c r="P107" s="148"/>
      <c r="R107" s="148" t="s">
        <v>1093</v>
      </c>
      <c r="S107" s="148"/>
      <c r="T107" s="148"/>
      <c r="W107" s="148" t="s">
        <v>1094</v>
      </c>
      <c r="X107" s="148"/>
      <c r="Y107" s="148"/>
      <c r="Z107" s="148"/>
      <c r="AA107" s="148"/>
      <c r="AB107" s="148"/>
      <c r="AC107" s="148"/>
      <c r="AD107" s="148"/>
      <c r="AE107" s="148"/>
      <c r="AF107" s="148"/>
      <c r="AG107" s="148"/>
      <c r="AH107" s="148"/>
      <c r="AI107" s="148"/>
      <c r="AJ107" s="148"/>
      <c r="AK107" s="148"/>
      <c r="AL107" s="148"/>
      <c r="AN107" s="148" t="s">
        <v>1095</v>
      </c>
      <c r="AO107" s="148"/>
      <c r="AP107" s="148"/>
    </row>
    <row r="108" customFormat="false" ht="15" hidden="false" customHeight="false" outlineLevel="0" collapsed="false">
      <c r="A108" s="123"/>
      <c r="B108" s="149" t="s">
        <v>112</v>
      </c>
      <c r="C108" s="149" t="s">
        <v>115</v>
      </c>
      <c r="D108" s="149" t="s">
        <v>119</v>
      </c>
      <c r="E108" s="149" t="s">
        <v>121</v>
      </c>
      <c r="F108" s="149" t="s">
        <v>123</v>
      </c>
      <c r="G108" s="149" t="s">
        <v>125</v>
      </c>
      <c r="H108" s="149" t="s">
        <v>168</v>
      </c>
      <c r="I108" s="149" t="s">
        <v>169</v>
      </c>
      <c r="J108" s="149" t="s">
        <v>170</v>
      </c>
      <c r="K108" s="149" t="s">
        <v>171</v>
      </c>
      <c r="L108" s="149" t="s">
        <v>172</v>
      </c>
      <c r="M108" s="149" t="s">
        <v>173</v>
      </c>
      <c r="N108" s="149" t="s">
        <v>174</v>
      </c>
      <c r="O108" s="149" t="s">
        <v>175</v>
      </c>
      <c r="P108" s="149" t="s">
        <v>176</v>
      </c>
      <c r="R108" s="151"/>
      <c r="S108" s="150" t="s">
        <v>112</v>
      </c>
      <c r="T108" s="150" t="s">
        <v>121</v>
      </c>
      <c r="W108" s="123"/>
      <c r="X108" s="149" t="s">
        <v>112</v>
      </c>
      <c r="Y108" s="149" t="s">
        <v>115</v>
      </c>
      <c r="Z108" s="149" t="s">
        <v>119</v>
      </c>
      <c r="AA108" s="149" t="s">
        <v>121</v>
      </c>
      <c r="AB108" s="149" t="s">
        <v>123</v>
      </c>
      <c r="AC108" s="149" t="s">
        <v>125</v>
      </c>
      <c r="AD108" s="149" t="s">
        <v>168</v>
      </c>
      <c r="AE108" s="149" t="s">
        <v>169</v>
      </c>
      <c r="AF108" s="149" t="s">
        <v>170</v>
      </c>
      <c r="AG108" s="149" t="s">
        <v>171</v>
      </c>
      <c r="AH108" s="149" t="s">
        <v>172</v>
      </c>
      <c r="AI108" s="149" t="s">
        <v>173</v>
      </c>
      <c r="AJ108" s="149" t="s">
        <v>174</v>
      </c>
      <c r="AK108" s="149" t="s">
        <v>175</v>
      </c>
      <c r="AL108" s="149" t="s">
        <v>176</v>
      </c>
      <c r="AN108" s="151"/>
      <c r="AO108" s="150" t="s">
        <v>112</v>
      </c>
      <c r="AP108" s="150" t="s">
        <v>121</v>
      </c>
    </row>
    <row r="109" customFormat="false" ht="15" hidden="false" customHeight="false" outlineLevel="0" collapsed="false">
      <c r="A109" s="152" t="s">
        <v>33</v>
      </c>
      <c r="B109" s="153" t="n">
        <v>4.69</v>
      </c>
      <c r="C109" s="154"/>
      <c r="D109" s="154"/>
      <c r="E109" s="153" t="n">
        <v>4.69</v>
      </c>
      <c r="F109" s="154"/>
      <c r="G109" s="154"/>
      <c r="H109" s="153" t="n">
        <v>4.69</v>
      </c>
      <c r="I109" s="154"/>
      <c r="J109" s="154"/>
      <c r="K109" s="154"/>
      <c r="L109" s="154"/>
      <c r="M109" s="154"/>
      <c r="N109" s="154"/>
      <c r="O109" s="154"/>
      <c r="P109" s="154"/>
      <c r="R109" s="155" t="s">
        <v>33</v>
      </c>
      <c r="S109" s="153" t="n">
        <v>4.69</v>
      </c>
      <c r="T109" s="153" t="n">
        <v>4.69</v>
      </c>
      <c r="W109" s="152" t="s">
        <v>33</v>
      </c>
      <c r="X109" s="156" t="n">
        <v>2</v>
      </c>
      <c r="Y109" s="154"/>
      <c r="Z109" s="154"/>
      <c r="AA109" s="156" t="n">
        <v>2</v>
      </c>
      <c r="AB109" s="154"/>
      <c r="AC109" s="154"/>
      <c r="AD109" s="156" t="n">
        <v>2</v>
      </c>
      <c r="AE109" s="154"/>
      <c r="AF109" s="154"/>
      <c r="AG109" s="154"/>
      <c r="AH109" s="154"/>
      <c r="AI109" s="154"/>
      <c r="AJ109" s="154"/>
      <c r="AK109" s="154"/>
      <c r="AL109" s="154"/>
      <c r="AN109" s="155" t="s">
        <v>33</v>
      </c>
      <c r="AO109" s="156" t="n">
        <v>2</v>
      </c>
      <c r="AP109" s="156" t="n">
        <v>2</v>
      </c>
    </row>
    <row r="110" customFormat="false" ht="15" hidden="false" customHeight="false" outlineLevel="0" collapsed="false">
      <c r="A110" s="152" t="s">
        <v>96</v>
      </c>
      <c r="B110" s="154"/>
      <c r="C110" s="154"/>
      <c r="D110" s="154"/>
      <c r="E110" s="154"/>
      <c r="F110" s="154"/>
      <c r="G110" s="154"/>
      <c r="H110" s="154"/>
      <c r="I110" s="154"/>
      <c r="J110" s="154"/>
      <c r="K110" s="154"/>
      <c r="L110" s="154"/>
      <c r="M110" s="154"/>
      <c r="N110" s="154"/>
      <c r="O110" s="154"/>
      <c r="P110" s="154"/>
      <c r="R110" s="155" t="s">
        <v>177</v>
      </c>
      <c r="S110" s="153" t="n">
        <v>4.69</v>
      </c>
      <c r="T110" s="153" t="n">
        <v>4.69</v>
      </c>
      <c r="W110" s="152" t="s">
        <v>96</v>
      </c>
      <c r="X110" s="154"/>
      <c r="Y110" s="154"/>
      <c r="Z110" s="154"/>
      <c r="AA110" s="154"/>
      <c r="AB110" s="154"/>
      <c r="AC110" s="154"/>
      <c r="AD110" s="154"/>
      <c r="AE110" s="154"/>
      <c r="AF110" s="154"/>
      <c r="AG110" s="154"/>
      <c r="AH110" s="154"/>
      <c r="AI110" s="154"/>
      <c r="AJ110" s="154"/>
      <c r="AK110" s="154"/>
      <c r="AL110" s="154"/>
      <c r="AN110" s="155" t="s">
        <v>177</v>
      </c>
      <c r="AO110" s="156" t="n">
        <v>2</v>
      </c>
      <c r="AP110" s="156" t="n">
        <v>2</v>
      </c>
    </row>
    <row r="111" customFormat="false" ht="15" hidden="false" customHeight="false" outlineLevel="0" collapsed="false">
      <c r="A111" s="152" t="s">
        <v>34</v>
      </c>
      <c r="B111" s="154"/>
      <c r="C111" s="154"/>
      <c r="D111" s="154"/>
      <c r="E111" s="154"/>
      <c r="F111" s="154"/>
      <c r="G111" s="154"/>
      <c r="H111" s="154"/>
      <c r="I111" s="154"/>
      <c r="J111" s="154"/>
      <c r="K111" s="154"/>
      <c r="L111" s="154"/>
      <c r="M111" s="154"/>
      <c r="N111" s="154"/>
      <c r="O111" s="154"/>
      <c r="P111" s="154"/>
      <c r="W111" s="152" t="s">
        <v>34</v>
      </c>
      <c r="X111" s="154"/>
      <c r="Y111" s="154"/>
      <c r="Z111" s="154"/>
      <c r="AA111" s="154"/>
      <c r="AB111" s="154"/>
      <c r="AC111" s="154"/>
      <c r="AD111" s="154"/>
      <c r="AE111" s="154"/>
      <c r="AF111" s="154"/>
      <c r="AG111" s="154"/>
      <c r="AH111" s="154"/>
      <c r="AI111" s="154"/>
      <c r="AJ111" s="154"/>
      <c r="AK111" s="154"/>
      <c r="AL111" s="154"/>
    </row>
    <row r="112" customFormat="false" ht="15" hidden="false" customHeight="false" outlineLevel="0" collapsed="false">
      <c r="A112" s="152" t="s">
        <v>97</v>
      </c>
      <c r="B112" s="153" t="n">
        <v>4.69</v>
      </c>
      <c r="C112" s="154"/>
      <c r="D112" s="154"/>
      <c r="E112" s="153" t="n">
        <v>4.69</v>
      </c>
      <c r="F112" s="154"/>
      <c r="G112" s="154"/>
      <c r="H112" s="153" t="n">
        <v>4.69</v>
      </c>
      <c r="I112" s="154"/>
      <c r="J112" s="154"/>
      <c r="K112" s="154"/>
      <c r="L112" s="154"/>
      <c r="M112" s="154"/>
      <c r="N112" s="154"/>
      <c r="O112" s="154"/>
      <c r="P112" s="154"/>
      <c r="W112" s="152" t="s">
        <v>97</v>
      </c>
      <c r="X112" s="156" t="n">
        <v>2</v>
      </c>
      <c r="Y112" s="154"/>
      <c r="Z112" s="154"/>
      <c r="AA112" s="156" t="n">
        <v>2</v>
      </c>
      <c r="AB112" s="154"/>
      <c r="AC112" s="154"/>
      <c r="AD112" s="156" t="n">
        <v>2</v>
      </c>
      <c r="AE112" s="154"/>
      <c r="AF112" s="154"/>
      <c r="AG112" s="154"/>
      <c r="AH112" s="154"/>
      <c r="AI112" s="154"/>
      <c r="AJ112" s="154"/>
      <c r="AK112" s="154"/>
      <c r="AL112" s="154"/>
    </row>
    <row r="113" customFormat="false" ht="15" hidden="false" customHeight="false" outlineLevel="0" collapsed="false">
      <c r="A113" s="152" t="s">
        <v>98</v>
      </c>
      <c r="B113" s="154"/>
      <c r="C113" s="154"/>
      <c r="D113" s="154"/>
      <c r="E113" s="154"/>
      <c r="F113" s="154"/>
      <c r="G113" s="154"/>
      <c r="H113" s="154"/>
      <c r="I113" s="154"/>
      <c r="J113" s="154"/>
      <c r="K113" s="154"/>
      <c r="L113" s="154"/>
      <c r="M113" s="154"/>
      <c r="N113" s="154"/>
      <c r="O113" s="154"/>
      <c r="P113" s="154"/>
      <c r="W113" s="152" t="s">
        <v>98</v>
      </c>
      <c r="X113" s="154"/>
      <c r="Y113" s="154"/>
      <c r="Z113" s="154"/>
      <c r="AA113" s="154"/>
      <c r="AB113" s="154"/>
      <c r="AC113" s="154"/>
      <c r="AD113" s="154"/>
      <c r="AE113" s="154"/>
      <c r="AF113" s="154"/>
      <c r="AG113" s="154"/>
      <c r="AH113" s="154"/>
      <c r="AI113" s="154"/>
      <c r="AJ113" s="154"/>
      <c r="AK113" s="154"/>
      <c r="AL113" s="154"/>
    </row>
    <row r="114" customFormat="false" ht="15" hidden="false" customHeight="false" outlineLevel="0" collapsed="false">
      <c r="A114" s="152" t="s">
        <v>99</v>
      </c>
      <c r="B114" s="154"/>
      <c r="C114" s="154"/>
      <c r="D114" s="154"/>
      <c r="E114" s="154"/>
      <c r="F114" s="154"/>
      <c r="G114" s="154"/>
      <c r="H114" s="154"/>
      <c r="I114" s="154"/>
      <c r="J114" s="154"/>
      <c r="K114" s="154"/>
      <c r="L114" s="154"/>
      <c r="M114" s="154"/>
      <c r="N114" s="154"/>
      <c r="O114" s="154"/>
      <c r="P114" s="154"/>
      <c r="W114" s="152" t="s">
        <v>99</v>
      </c>
      <c r="X114" s="154"/>
      <c r="Y114" s="154"/>
      <c r="Z114" s="154"/>
      <c r="AA114" s="154"/>
      <c r="AB114" s="154"/>
      <c r="AC114" s="154"/>
      <c r="AD114" s="154"/>
      <c r="AE114" s="154"/>
      <c r="AF114" s="154"/>
      <c r="AG114" s="154"/>
      <c r="AH114" s="154"/>
      <c r="AI114" s="154"/>
      <c r="AJ114" s="154"/>
      <c r="AK114" s="154"/>
      <c r="AL114" s="154"/>
    </row>
    <row r="115" customFormat="false" ht="15" hidden="false" customHeight="false" outlineLevel="0" collapsed="false">
      <c r="A115" s="152" t="s">
        <v>177</v>
      </c>
      <c r="B115" s="153" t="n">
        <v>4.69</v>
      </c>
      <c r="C115" s="154"/>
      <c r="D115" s="154"/>
      <c r="E115" s="153" t="n">
        <v>4.69</v>
      </c>
      <c r="F115" s="154"/>
      <c r="G115" s="154"/>
      <c r="H115" s="153" t="n">
        <v>4.69</v>
      </c>
      <c r="I115" s="154"/>
      <c r="J115" s="154"/>
      <c r="K115" s="154"/>
      <c r="L115" s="154"/>
      <c r="M115" s="154"/>
      <c r="N115" s="154"/>
      <c r="O115" s="154"/>
      <c r="P115" s="154"/>
      <c r="W115" s="152" t="s">
        <v>177</v>
      </c>
      <c r="X115" s="156" t="n">
        <v>2</v>
      </c>
      <c r="Y115" s="154"/>
      <c r="Z115" s="154"/>
      <c r="AA115" s="156" t="n">
        <v>2</v>
      </c>
      <c r="AB115" s="154"/>
      <c r="AC115" s="154"/>
      <c r="AD115" s="156" t="n">
        <v>2</v>
      </c>
      <c r="AE115" s="154"/>
      <c r="AF115" s="154"/>
      <c r="AG115" s="154"/>
      <c r="AH115" s="154"/>
      <c r="AI115" s="154"/>
      <c r="AJ115" s="154"/>
      <c r="AK115" s="154"/>
      <c r="AL115" s="154"/>
    </row>
    <row r="116" customFormat="false" ht="15" hidden="false" customHeight="false" outlineLevel="0" collapsed="false">
      <c r="A116" s="152" t="s">
        <v>205</v>
      </c>
      <c r="B116" s="154"/>
      <c r="C116" s="154"/>
      <c r="D116" s="154"/>
      <c r="E116" s="154"/>
      <c r="F116" s="154"/>
      <c r="G116" s="154"/>
      <c r="H116" s="154"/>
      <c r="I116" s="154"/>
      <c r="J116" s="154"/>
      <c r="K116" s="154"/>
      <c r="L116" s="154"/>
      <c r="M116" s="154"/>
      <c r="N116" s="154"/>
      <c r="O116" s="154"/>
      <c r="P116" s="154"/>
      <c r="W116" s="152" t="s">
        <v>205</v>
      </c>
      <c r="X116" s="154"/>
      <c r="Y116" s="154"/>
      <c r="Z116" s="154"/>
      <c r="AA116" s="154"/>
      <c r="AB116" s="154"/>
      <c r="AC116" s="154"/>
      <c r="AD116" s="154"/>
      <c r="AE116" s="154"/>
      <c r="AF116" s="154"/>
      <c r="AG116" s="154"/>
      <c r="AH116" s="154"/>
      <c r="AI116" s="154"/>
      <c r="AJ116" s="154"/>
      <c r="AK116" s="154"/>
      <c r="AL116" s="154"/>
    </row>
    <row r="117" customFormat="false" ht="15" hidden="false" customHeight="false" outlineLevel="0" collapsed="false">
      <c r="A117" s="152" t="s">
        <v>233</v>
      </c>
      <c r="B117" s="154"/>
      <c r="C117" s="154"/>
      <c r="D117" s="154"/>
      <c r="E117" s="154"/>
      <c r="F117" s="154"/>
      <c r="G117" s="154"/>
      <c r="H117" s="154"/>
      <c r="I117" s="154"/>
      <c r="J117" s="154"/>
      <c r="K117" s="154"/>
      <c r="L117" s="154"/>
      <c r="M117" s="154"/>
      <c r="N117" s="154"/>
      <c r="O117" s="154"/>
      <c r="P117" s="154"/>
      <c r="W117" s="152" t="s">
        <v>233</v>
      </c>
      <c r="X117" s="154"/>
      <c r="Y117" s="154"/>
      <c r="Z117" s="154"/>
      <c r="AA117" s="154"/>
      <c r="AB117" s="154"/>
      <c r="AC117" s="154"/>
      <c r="AD117" s="154"/>
      <c r="AE117" s="154"/>
      <c r="AF117" s="154"/>
      <c r="AG117" s="154"/>
      <c r="AH117" s="154"/>
      <c r="AI117" s="154"/>
      <c r="AJ117" s="154"/>
      <c r="AK117" s="154"/>
      <c r="AL117" s="154"/>
    </row>
    <row r="118" customFormat="false" ht="15" hidden="false" customHeight="false" outlineLevel="0" collapsed="false">
      <c r="A118" s="152" t="s">
        <v>186</v>
      </c>
      <c r="B118" s="154"/>
      <c r="C118" s="154"/>
      <c r="D118" s="154"/>
      <c r="E118" s="154"/>
      <c r="F118" s="154"/>
      <c r="G118" s="154"/>
      <c r="H118" s="154"/>
      <c r="I118" s="154"/>
      <c r="J118" s="154"/>
      <c r="K118" s="154"/>
      <c r="L118" s="154"/>
      <c r="M118" s="154"/>
      <c r="N118" s="154"/>
      <c r="O118" s="154"/>
      <c r="P118" s="154"/>
      <c r="W118" s="152" t="s">
        <v>186</v>
      </c>
      <c r="X118" s="154"/>
      <c r="Y118" s="154"/>
      <c r="Z118" s="154"/>
      <c r="AA118" s="154"/>
      <c r="AB118" s="154"/>
      <c r="AC118" s="154"/>
      <c r="AD118" s="154"/>
      <c r="AE118" s="154"/>
      <c r="AF118" s="154"/>
      <c r="AG118" s="154"/>
      <c r="AH118" s="154"/>
      <c r="AI118" s="154"/>
      <c r="AJ118" s="154"/>
      <c r="AK118" s="154"/>
      <c r="AL118" s="154"/>
    </row>
    <row r="119" customFormat="false" ht="15" hidden="false" customHeight="false" outlineLevel="0" collapsed="false">
      <c r="A119" s="152" t="s">
        <v>215</v>
      </c>
      <c r="B119" s="154"/>
      <c r="C119" s="154"/>
      <c r="D119" s="154"/>
      <c r="E119" s="154"/>
      <c r="F119" s="154"/>
      <c r="G119" s="154"/>
      <c r="H119" s="154"/>
      <c r="I119" s="154"/>
      <c r="J119" s="154"/>
      <c r="K119" s="154"/>
      <c r="L119" s="154"/>
      <c r="M119" s="154"/>
      <c r="N119" s="154"/>
      <c r="O119" s="154"/>
      <c r="P119" s="154"/>
      <c r="W119" s="152" t="s">
        <v>215</v>
      </c>
      <c r="X119" s="154"/>
      <c r="Y119" s="154"/>
      <c r="Z119" s="154"/>
      <c r="AA119" s="154"/>
      <c r="AB119" s="154"/>
      <c r="AC119" s="154"/>
      <c r="AD119" s="154"/>
      <c r="AE119" s="154"/>
      <c r="AF119" s="154"/>
      <c r="AG119" s="154"/>
      <c r="AH119" s="154"/>
      <c r="AI119" s="154"/>
      <c r="AJ119" s="154"/>
      <c r="AK119" s="154"/>
      <c r="AL119" s="154"/>
    </row>
    <row r="120" customFormat="false" ht="15" hidden="false" customHeight="false" outlineLevel="0" collapsed="false">
      <c r="A120" s="152" t="s">
        <v>243</v>
      </c>
      <c r="B120" s="154"/>
      <c r="C120" s="154"/>
      <c r="D120" s="154"/>
      <c r="E120" s="154"/>
      <c r="F120" s="154"/>
      <c r="G120" s="154"/>
      <c r="H120" s="154"/>
      <c r="I120" s="154"/>
      <c r="J120" s="154"/>
      <c r="K120" s="154"/>
      <c r="L120" s="154"/>
      <c r="M120" s="154"/>
      <c r="N120" s="154"/>
      <c r="O120" s="154"/>
      <c r="P120" s="154"/>
      <c r="W120" s="152" t="s">
        <v>243</v>
      </c>
      <c r="X120" s="154"/>
      <c r="Y120" s="154"/>
      <c r="Z120" s="154"/>
      <c r="AA120" s="154"/>
      <c r="AB120" s="154"/>
      <c r="AC120" s="154"/>
      <c r="AD120" s="154"/>
      <c r="AE120" s="154"/>
      <c r="AF120" s="154"/>
      <c r="AG120" s="154"/>
      <c r="AH120" s="154"/>
      <c r="AI120" s="154"/>
      <c r="AJ120" s="154"/>
      <c r="AK120" s="154"/>
      <c r="AL120" s="154"/>
    </row>
    <row r="121" customFormat="false" ht="15" hidden="false" customHeight="false" outlineLevel="0" collapsed="false">
      <c r="A121" s="152" t="s">
        <v>195</v>
      </c>
      <c r="B121" s="154"/>
      <c r="C121" s="154"/>
      <c r="D121" s="154"/>
      <c r="E121" s="154"/>
      <c r="F121" s="154"/>
      <c r="G121" s="154"/>
      <c r="H121" s="154"/>
      <c r="I121" s="154"/>
      <c r="J121" s="154"/>
      <c r="K121" s="154"/>
      <c r="L121" s="154"/>
      <c r="M121" s="154"/>
      <c r="N121" s="154"/>
      <c r="O121" s="154"/>
      <c r="P121" s="154"/>
      <c r="W121" s="152" t="s">
        <v>195</v>
      </c>
      <c r="X121" s="154"/>
      <c r="Y121" s="154"/>
      <c r="Z121" s="154"/>
      <c r="AA121" s="154"/>
      <c r="AB121" s="154"/>
      <c r="AC121" s="154"/>
      <c r="AD121" s="154"/>
      <c r="AE121" s="154"/>
      <c r="AF121" s="154"/>
      <c r="AG121" s="154"/>
      <c r="AH121" s="154"/>
      <c r="AI121" s="154"/>
      <c r="AJ121" s="154"/>
      <c r="AK121" s="154"/>
      <c r="AL121" s="154"/>
    </row>
    <row r="122" customFormat="false" ht="15" hidden="false" customHeight="false" outlineLevel="0" collapsed="false">
      <c r="A122" s="152" t="s">
        <v>223</v>
      </c>
      <c r="B122" s="154"/>
      <c r="C122" s="154"/>
      <c r="D122" s="154"/>
      <c r="E122" s="154"/>
      <c r="F122" s="154"/>
      <c r="G122" s="154"/>
      <c r="H122" s="154"/>
      <c r="I122" s="154"/>
      <c r="J122" s="154"/>
      <c r="K122" s="154"/>
      <c r="L122" s="154"/>
      <c r="M122" s="154"/>
      <c r="N122" s="154"/>
      <c r="O122" s="154"/>
      <c r="P122" s="154"/>
      <c r="W122" s="152" t="s">
        <v>223</v>
      </c>
      <c r="X122" s="154"/>
      <c r="Y122" s="154"/>
      <c r="Z122" s="154"/>
      <c r="AA122" s="154"/>
      <c r="AB122" s="154"/>
      <c r="AC122" s="154"/>
      <c r="AD122" s="154"/>
      <c r="AE122" s="154"/>
      <c r="AF122" s="154"/>
      <c r="AG122" s="154"/>
      <c r="AH122" s="154"/>
      <c r="AI122" s="154"/>
      <c r="AJ122" s="154"/>
      <c r="AK122" s="154"/>
      <c r="AL122" s="154"/>
    </row>
    <row r="123" customFormat="false" ht="15" hidden="false" customHeight="false" outlineLevel="0" collapsed="false">
      <c r="A123" s="152" t="s">
        <v>250</v>
      </c>
      <c r="B123" s="154"/>
      <c r="C123" s="154"/>
      <c r="D123" s="154"/>
      <c r="E123" s="154"/>
      <c r="F123" s="154"/>
      <c r="G123" s="154"/>
      <c r="H123" s="154"/>
      <c r="I123" s="154"/>
      <c r="J123" s="154"/>
      <c r="K123" s="154"/>
      <c r="L123" s="154"/>
      <c r="M123" s="154"/>
      <c r="N123" s="154"/>
      <c r="O123" s="154"/>
      <c r="P123" s="154"/>
      <c r="W123" s="152" t="s">
        <v>250</v>
      </c>
      <c r="X123" s="154"/>
      <c r="Y123" s="154"/>
      <c r="Z123" s="154"/>
      <c r="AA123" s="154"/>
      <c r="AB123" s="154"/>
      <c r="AC123" s="154"/>
      <c r="AD123" s="154"/>
      <c r="AE123" s="154"/>
      <c r="AF123" s="154"/>
      <c r="AG123" s="154"/>
      <c r="AH123" s="154"/>
      <c r="AI123" s="154"/>
      <c r="AJ123" s="154"/>
      <c r="AK123" s="154"/>
      <c r="AL123" s="154"/>
    </row>
    <row r="127" customFormat="false" ht="15" hidden="false" customHeight="false" outlineLevel="0" collapsed="false">
      <c r="A127" s="148" t="s">
        <v>1096</v>
      </c>
      <c r="B127" s="148"/>
      <c r="C127" s="148"/>
      <c r="D127" s="148"/>
      <c r="E127" s="148"/>
      <c r="F127" s="148"/>
      <c r="G127" s="148"/>
      <c r="H127" s="148"/>
      <c r="I127" s="148"/>
      <c r="J127" s="148"/>
      <c r="K127" s="148"/>
      <c r="L127" s="148"/>
      <c r="M127" s="148"/>
      <c r="N127" s="148"/>
      <c r="O127" s="148"/>
      <c r="P127" s="148"/>
      <c r="R127" s="148" t="s">
        <v>1097</v>
      </c>
      <c r="S127" s="148"/>
      <c r="T127" s="148"/>
      <c r="W127" s="148" t="s">
        <v>1098</v>
      </c>
      <c r="X127" s="148"/>
      <c r="Y127" s="148"/>
      <c r="Z127" s="148"/>
      <c r="AA127" s="148"/>
      <c r="AB127" s="148"/>
      <c r="AC127" s="148"/>
      <c r="AD127" s="148"/>
      <c r="AE127" s="148"/>
      <c r="AF127" s="148"/>
      <c r="AG127" s="148"/>
      <c r="AH127" s="148"/>
      <c r="AI127" s="148"/>
      <c r="AJ127" s="148"/>
      <c r="AK127" s="148"/>
      <c r="AL127" s="148"/>
      <c r="AN127" s="148" t="s">
        <v>1097</v>
      </c>
      <c r="AO127" s="148"/>
      <c r="AP127" s="148"/>
    </row>
    <row r="128" customFormat="false" ht="15" hidden="false" customHeight="false" outlineLevel="0" collapsed="false">
      <c r="A128" s="123"/>
      <c r="B128" s="149" t="s">
        <v>112</v>
      </c>
      <c r="C128" s="149" t="s">
        <v>115</v>
      </c>
      <c r="D128" s="149" t="s">
        <v>119</v>
      </c>
      <c r="E128" s="149" t="s">
        <v>121</v>
      </c>
      <c r="F128" s="149" t="s">
        <v>123</v>
      </c>
      <c r="G128" s="149" t="s">
        <v>125</v>
      </c>
      <c r="H128" s="149" t="s">
        <v>168</v>
      </c>
      <c r="I128" s="149" t="s">
        <v>169</v>
      </c>
      <c r="J128" s="149" t="s">
        <v>170</v>
      </c>
      <c r="K128" s="149" t="s">
        <v>171</v>
      </c>
      <c r="L128" s="149" t="s">
        <v>172</v>
      </c>
      <c r="M128" s="149" t="s">
        <v>173</v>
      </c>
      <c r="N128" s="149" t="s">
        <v>174</v>
      </c>
      <c r="O128" s="149" t="s">
        <v>175</v>
      </c>
      <c r="P128" s="149" t="s">
        <v>176</v>
      </c>
      <c r="R128" s="151"/>
      <c r="S128" s="150" t="s">
        <v>112</v>
      </c>
      <c r="T128" s="150" t="s">
        <v>121</v>
      </c>
      <c r="W128" s="123"/>
      <c r="X128" s="149" t="s">
        <v>112</v>
      </c>
      <c r="Y128" s="149" t="s">
        <v>115</v>
      </c>
      <c r="Z128" s="149" t="s">
        <v>119</v>
      </c>
      <c r="AA128" s="149" t="s">
        <v>121</v>
      </c>
      <c r="AB128" s="149" t="s">
        <v>123</v>
      </c>
      <c r="AC128" s="149" t="s">
        <v>125</v>
      </c>
      <c r="AD128" s="149" t="s">
        <v>168</v>
      </c>
      <c r="AE128" s="149" t="s">
        <v>169</v>
      </c>
      <c r="AF128" s="149" t="s">
        <v>170</v>
      </c>
      <c r="AG128" s="149" t="s">
        <v>171</v>
      </c>
      <c r="AH128" s="149" t="s">
        <v>172</v>
      </c>
      <c r="AI128" s="149" t="s">
        <v>173</v>
      </c>
      <c r="AJ128" s="149" t="s">
        <v>174</v>
      </c>
      <c r="AK128" s="149" t="s">
        <v>175</v>
      </c>
      <c r="AL128" s="149" t="s">
        <v>176</v>
      </c>
      <c r="AN128" s="151"/>
      <c r="AO128" s="150" t="s">
        <v>112</v>
      </c>
      <c r="AP128" s="150" t="s">
        <v>121</v>
      </c>
    </row>
    <row r="129" customFormat="false" ht="15" hidden="false" customHeight="false" outlineLevel="0" collapsed="false">
      <c r="A129" s="152" t="s">
        <v>33</v>
      </c>
      <c r="B129" s="153" t="n">
        <v>4.69</v>
      </c>
      <c r="C129" s="154"/>
      <c r="D129" s="154"/>
      <c r="E129" s="153" t="n">
        <v>4.69</v>
      </c>
      <c r="F129" s="154"/>
      <c r="G129" s="154"/>
      <c r="H129" s="153" t="n">
        <v>4.69</v>
      </c>
      <c r="I129" s="154"/>
      <c r="J129" s="154"/>
      <c r="K129" s="154"/>
      <c r="L129" s="154"/>
      <c r="M129" s="154"/>
      <c r="N129" s="154"/>
      <c r="O129" s="154"/>
      <c r="P129" s="154"/>
      <c r="R129" s="155" t="s">
        <v>33</v>
      </c>
      <c r="S129" s="153" t="n">
        <v>4.69</v>
      </c>
      <c r="T129" s="153" t="n">
        <v>4.69</v>
      </c>
      <c r="W129" s="152" t="s">
        <v>33</v>
      </c>
      <c r="X129" s="154"/>
      <c r="Y129" s="154"/>
      <c r="Z129" s="154"/>
      <c r="AA129" s="154"/>
      <c r="AB129" s="154"/>
      <c r="AC129" s="154"/>
      <c r="AD129" s="154"/>
      <c r="AE129" s="154"/>
      <c r="AF129" s="154"/>
      <c r="AG129" s="154"/>
      <c r="AH129" s="154"/>
      <c r="AI129" s="154"/>
      <c r="AJ129" s="154"/>
      <c r="AK129" s="154"/>
      <c r="AL129" s="154"/>
      <c r="AN129" s="155" t="s">
        <v>33</v>
      </c>
      <c r="AO129" s="153" t="n">
        <v>0</v>
      </c>
      <c r="AP129" s="153" t="n">
        <v>0</v>
      </c>
    </row>
    <row r="130" customFormat="false" ht="15" hidden="false" customHeight="false" outlineLevel="0" collapsed="false">
      <c r="A130" s="152" t="s">
        <v>96</v>
      </c>
      <c r="B130" s="154"/>
      <c r="C130" s="154"/>
      <c r="D130" s="154"/>
      <c r="E130" s="154"/>
      <c r="F130" s="154"/>
      <c r="G130" s="154"/>
      <c r="H130" s="154"/>
      <c r="I130" s="154"/>
      <c r="J130" s="154"/>
      <c r="K130" s="154"/>
      <c r="L130" s="154"/>
      <c r="M130" s="154"/>
      <c r="N130" s="154"/>
      <c r="O130" s="154"/>
      <c r="P130" s="154"/>
      <c r="R130" s="155" t="s">
        <v>177</v>
      </c>
      <c r="S130" s="153" t="n">
        <v>4.69</v>
      </c>
      <c r="T130" s="153" t="n">
        <v>4.69</v>
      </c>
      <c r="W130" s="152" t="s">
        <v>96</v>
      </c>
      <c r="X130" s="154"/>
      <c r="Y130" s="154"/>
      <c r="Z130" s="154"/>
      <c r="AA130" s="154"/>
      <c r="AB130" s="154"/>
      <c r="AC130" s="154"/>
      <c r="AD130" s="154"/>
      <c r="AE130" s="154"/>
      <c r="AF130" s="154"/>
      <c r="AG130" s="154"/>
      <c r="AH130" s="154"/>
      <c r="AI130" s="154"/>
      <c r="AJ130" s="154"/>
      <c r="AK130" s="154"/>
      <c r="AL130" s="154"/>
      <c r="AN130" s="155" t="s">
        <v>177</v>
      </c>
      <c r="AO130" s="153" t="n">
        <v>0</v>
      </c>
      <c r="AP130" s="153" t="n">
        <v>0</v>
      </c>
    </row>
    <row r="131" customFormat="false" ht="15" hidden="false" customHeight="false" outlineLevel="0" collapsed="false">
      <c r="A131" s="152" t="s">
        <v>34</v>
      </c>
      <c r="B131" s="154"/>
      <c r="C131" s="154"/>
      <c r="D131" s="154"/>
      <c r="E131" s="154"/>
      <c r="F131" s="154"/>
      <c r="G131" s="154"/>
      <c r="H131" s="154"/>
      <c r="I131" s="154"/>
      <c r="J131" s="154"/>
      <c r="K131" s="154"/>
      <c r="L131" s="154"/>
      <c r="M131" s="154"/>
      <c r="N131" s="154"/>
      <c r="O131" s="154"/>
      <c r="P131" s="154"/>
      <c r="W131" s="152" t="s">
        <v>34</v>
      </c>
      <c r="X131" s="154"/>
      <c r="Y131" s="154"/>
      <c r="Z131" s="154"/>
      <c r="AA131" s="154"/>
      <c r="AB131" s="154"/>
      <c r="AC131" s="154"/>
      <c r="AD131" s="154"/>
      <c r="AE131" s="154"/>
      <c r="AF131" s="154"/>
      <c r="AG131" s="154"/>
      <c r="AH131" s="154"/>
      <c r="AI131" s="154"/>
      <c r="AJ131" s="154"/>
      <c r="AK131" s="154"/>
      <c r="AL131" s="154"/>
    </row>
    <row r="132" customFormat="false" ht="15" hidden="false" customHeight="false" outlineLevel="0" collapsed="false">
      <c r="A132" s="152" t="s">
        <v>97</v>
      </c>
      <c r="B132" s="153" t="n">
        <v>4.69</v>
      </c>
      <c r="C132" s="154"/>
      <c r="D132" s="154"/>
      <c r="E132" s="153" t="n">
        <v>4.69</v>
      </c>
      <c r="F132" s="154"/>
      <c r="G132" s="154"/>
      <c r="H132" s="153" t="n">
        <v>4.69</v>
      </c>
      <c r="I132" s="154"/>
      <c r="J132" s="154"/>
      <c r="K132" s="154"/>
      <c r="L132" s="154"/>
      <c r="M132" s="154"/>
      <c r="N132" s="154"/>
      <c r="O132" s="154"/>
      <c r="P132" s="154"/>
      <c r="W132" s="152" t="s">
        <v>97</v>
      </c>
      <c r="X132" s="154"/>
      <c r="Y132" s="154"/>
      <c r="Z132" s="154"/>
      <c r="AA132" s="154"/>
      <c r="AB132" s="154"/>
      <c r="AC132" s="154"/>
      <c r="AD132" s="154"/>
      <c r="AE132" s="154"/>
      <c r="AF132" s="154"/>
      <c r="AG132" s="154"/>
      <c r="AH132" s="154"/>
      <c r="AI132" s="154"/>
      <c r="AJ132" s="154"/>
      <c r="AK132" s="154"/>
      <c r="AL132" s="154"/>
    </row>
    <row r="133" customFormat="false" ht="15" hidden="false" customHeight="false" outlineLevel="0" collapsed="false">
      <c r="A133" s="152" t="s">
        <v>98</v>
      </c>
      <c r="B133" s="154"/>
      <c r="C133" s="154"/>
      <c r="D133" s="154"/>
      <c r="E133" s="154"/>
      <c r="F133" s="154"/>
      <c r="G133" s="154"/>
      <c r="H133" s="154"/>
      <c r="I133" s="154"/>
      <c r="J133" s="154"/>
      <c r="K133" s="154"/>
      <c r="L133" s="154"/>
      <c r="M133" s="154"/>
      <c r="N133" s="154"/>
      <c r="O133" s="154"/>
      <c r="P133" s="154"/>
      <c r="W133" s="152" t="s">
        <v>98</v>
      </c>
      <c r="X133" s="154"/>
      <c r="Y133" s="154"/>
      <c r="Z133" s="154"/>
      <c r="AA133" s="154"/>
      <c r="AB133" s="154"/>
      <c r="AC133" s="154"/>
      <c r="AD133" s="154"/>
      <c r="AE133" s="154"/>
      <c r="AF133" s="154"/>
      <c r="AG133" s="154"/>
      <c r="AH133" s="154"/>
      <c r="AI133" s="154"/>
      <c r="AJ133" s="154"/>
      <c r="AK133" s="154"/>
      <c r="AL133" s="154"/>
    </row>
    <row r="134" customFormat="false" ht="15" hidden="false" customHeight="false" outlineLevel="0" collapsed="false">
      <c r="A134" s="152" t="s">
        <v>99</v>
      </c>
      <c r="B134" s="154"/>
      <c r="C134" s="154"/>
      <c r="D134" s="154"/>
      <c r="E134" s="154"/>
      <c r="F134" s="154"/>
      <c r="G134" s="154"/>
      <c r="H134" s="154"/>
      <c r="I134" s="154"/>
      <c r="J134" s="154"/>
      <c r="K134" s="154"/>
      <c r="L134" s="154"/>
      <c r="M134" s="154"/>
      <c r="N134" s="154"/>
      <c r="O134" s="154"/>
      <c r="P134" s="154"/>
      <c r="W134" s="152" t="s">
        <v>99</v>
      </c>
      <c r="X134" s="154"/>
      <c r="Y134" s="154"/>
      <c r="Z134" s="154"/>
      <c r="AA134" s="154"/>
      <c r="AB134" s="154"/>
      <c r="AC134" s="154"/>
      <c r="AD134" s="154"/>
      <c r="AE134" s="154"/>
      <c r="AF134" s="154"/>
      <c r="AG134" s="154"/>
      <c r="AH134" s="154"/>
      <c r="AI134" s="154"/>
      <c r="AJ134" s="154"/>
      <c r="AK134" s="154"/>
      <c r="AL134" s="154"/>
    </row>
    <row r="135" customFormat="false" ht="15" hidden="false" customHeight="false" outlineLevel="0" collapsed="false">
      <c r="A135" s="152" t="s">
        <v>177</v>
      </c>
      <c r="B135" s="153" t="n">
        <v>4.69</v>
      </c>
      <c r="C135" s="154"/>
      <c r="D135" s="154"/>
      <c r="E135" s="153" t="n">
        <v>4.69</v>
      </c>
      <c r="F135" s="154"/>
      <c r="G135" s="154"/>
      <c r="H135" s="153" t="n">
        <v>4.69</v>
      </c>
      <c r="I135" s="154"/>
      <c r="J135" s="154"/>
      <c r="K135" s="154"/>
      <c r="L135" s="154"/>
      <c r="M135" s="154"/>
      <c r="N135" s="154"/>
      <c r="O135" s="154"/>
      <c r="P135" s="154"/>
      <c r="W135" s="152" t="s">
        <v>177</v>
      </c>
      <c r="X135" s="154"/>
      <c r="Y135" s="154"/>
      <c r="Z135" s="154"/>
      <c r="AA135" s="154"/>
      <c r="AB135" s="154"/>
      <c r="AC135" s="154"/>
      <c r="AD135" s="154"/>
      <c r="AE135" s="154"/>
      <c r="AF135" s="154"/>
      <c r="AG135" s="154"/>
      <c r="AH135" s="154"/>
      <c r="AI135" s="154"/>
      <c r="AJ135" s="154"/>
      <c r="AK135" s="154"/>
      <c r="AL135" s="154"/>
    </row>
    <row r="136" customFormat="false" ht="15" hidden="false" customHeight="false" outlineLevel="0" collapsed="false">
      <c r="A136" s="152" t="s">
        <v>205</v>
      </c>
      <c r="B136" s="154"/>
      <c r="C136" s="154"/>
      <c r="D136" s="154"/>
      <c r="E136" s="154"/>
      <c r="F136" s="154"/>
      <c r="G136" s="154"/>
      <c r="H136" s="154"/>
      <c r="I136" s="154"/>
      <c r="J136" s="154"/>
      <c r="K136" s="154"/>
      <c r="L136" s="154"/>
      <c r="M136" s="154"/>
      <c r="N136" s="154"/>
      <c r="O136" s="154"/>
      <c r="P136" s="154"/>
      <c r="W136" s="152" t="s">
        <v>205</v>
      </c>
      <c r="X136" s="154"/>
      <c r="Y136" s="154"/>
      <c r="Z136" s="154"/>
      <c r="AA136" s="154"/>
      <c r="AB136" s="154"/>
      <c r="AC136" s="154"/>
      <c r="AD136" s="154"/>
      <c r="AE136" s="154"/>
      <c r="AF136" s="154"/>
      <c r="AG136" s="154"/>
      <c r="AH136" s="154"/>
      <c r="AI136" s="154"/>
      <c r="AJ136" s="154"/>
      <c r="AK136" s="154"/>
      <c r="AL136" s="154"/>
    </row>
    <row r="137" customFormat="false" ht="15" hidden="false" customHeight="false" outlineLevel="0" collapsed="false">
      <c r="A137" s="152" t="s">
        <v>233</v>
      </c>
      <c r="B137" s="154"/>
      <c r="C137" s="154"/>
      <c r="D137" s="154"/>
      <c r="E137" s="154"/>
      <c r="F137" s="154"/>
      <c r="G137" s="154"/>
      <c r="H137" s="154"/>
      <c r="I137" s="154"/>
      <c r="J137" s="154"/>
      <c r="K137" s="154"/>
      <c r="L137" s="154"/>
      <c r="M137" s="154"/>
      <c r="N137" s="154"/>
      <c r="O137" s="154"/>
      <c r="P137" s="154"/>
      <c r="W137" s="152" t="s">
        <v>233</v>
      </c>
      <c r="X137" s="154"/>
      <c r="Y137" s="154"/>
      <c r="Z137" s="154"/>
      <c r="AA137" s="154"/>
      <c r="AB137" s="154"/>
      <c r="AC137" s="154"/>
      <c r="AD137" s="154"/>
      <c r="AE137" s="154"/>
      <c r="AF137" s="154"/>
      <c r="AG137" s="154"/>
      <c r="AH137" s="154"/>
      <c r="AI137" s="154"/>
      <c r="AJ137" s="154"/>
      <c r="AK137" s="154"/>
      <c r="AL137" s="154"/>
    </row>
    <row r="138" customFormat="false" ht="15" hidden="false" customHeight="false" outlineLevel="0" collapsed="false">
      <c r="A138" s="152" t="s">
        <v>186</v>
      </c>
      <c r="B138" s="154"/>
      <c r="C138" s="154"/>
      <c r="D138" s="154"/>
      <c r="E138" s="154"/>
      <c r="F138" s="154"/>
      <c r="G138" s="154"/>
      <c r="H138" s="154"/>
      <c r="I138" s="154"/>
      <c r="J138" s="154"/>
      <c r="K138" s="154"/>
      <c r="L138" s="154"/>
      <c r="M138" s="154"/>
      <c r="N138" s="154"/>
      <c r="O138" s="154"/>
      <c r="P138" s="154"/>
      <c r="W138" s="152" t="s">
        <v>186</v>
      </c>
      <c r="X138" s="154"/>
      <c r="Y138" s="154"/>
      <c r="Z138" s="154"/>
      <c r="AA138" s="154"/>
      <c r="AB138" s="154"/>
      <c r="AC138" s="154"/>
      <c r="AD138" s="154"/>
      <c r="AE138" s="154"/>
      <c r="AF138" s="154"/>
      <c r="AG138" s="154"/>
      <c r="AH138" s="154"/>
      <c r="AI138" s="154"/>
      <c r="AJ138" s="154"/>
      <c r="AK138" s="154"/>
      <c r="AL138" s="154"/>
    </row>
    <row r="139" customFormat="false" ht="15" hidden="false" customHeight="false" outlineLevel="0" collapsed="false">
      <c r="A139" s="152" t="s">
        <v>215</v>
      </c>
      <c r="B139" s="154"/>
      <c r="C139" s="154"/>
      <c r="D139" s="154"/>
      <c r="E139" s="154"/>
      <c r="F139" s="154"/>
      <c r="G139" s="154"/>
      <c r="H139" s="154"/>
      <c r="I139" s="154"/>
      <c r="J139" s="154"/>
      <c r="K139" s="154"/>
      <c r="L139" s="154"/>
      <c r="M139" s="154"/>
      <c r="N139" s="154"/>
      <c r="O139" s="154"/>
      <c r="P139" s="154"/>
      <c r="W139" s="152" t="s">
        <v>215</v>
      </c>
      <c r="X139" s="154"/>
      <c r="Y139" s="154"/>
      <c r="Z139" s="154"/>
      <c r="AA139" s="154"/>
      <c r="AB139" s="154"/>
      <c r="AC139" s="154"/>
      <c r="AD139" s="154"/>
      <c r="AE139" s="154"/>
      <c r="AF139" s="154"/>
      <c r="AG139" s="154"/>
      <c r="AH139" s="154"/>
      <c r="AI139" s="154"/>
      <c r="AJ139" s="154"/>
      <c r="AK139" s="154"/>
      <c r="AL139" s="154"/>
    </row>
    <row r="140" customFormat="false" ht="15" hidden="false" customHeight="false" outlineLevel="0" collapsed="false">
      <c r="A140" s="152" t="s">
        <v>243</v>
      </c>
      <c r="B140" s="154"/>
      <c r="C140" s="154"/>
      <c r="D140" s="154"/>
      <c r="E140" s="154"/>
      <c r="F140" s="154"/>
      <c r="G140" s="154"/>
      <c r="H140" s="154"/>
      <c r="I140" s="154"/>
      <c r="J140" s="154"/>
      <c r="K140" s="154"/>
      <c r="L140" s="154"/>
      <c r="M140" s="154"/>
      <c r="N140" s="154"/>
      <c r="O140" s="154"/>
      <c r="P140" s="154"/>
      <c r="W140" s="152" t="s">
        <v>243</v>
      </c>
      <c r="X140" s="154"/>
      <c r="Y140" s="154"/>
      <c r="Z140" s="154"/>
      <c r="AA140" s="154"/>
      <c r="AB140" s="154"/>
      <c r="AC140" s="154"/>
      <c r="AD140" s="154"/>
      <c r="AE140" s="154"/>
      <c r="AF140" s="154"/>
      <c r="AG140" s="154"/>
      <c r="AH140" s="154"/>
      <c r="AI140" s="154"/>
      <c r="AJ140" s="154"/>
      <c r="AK140" s="154"/>
      <c r="AL140" s="154"/>
    </row>
    <row r="141" customFormat="false" ht="15" hidden="false" customHeight="false" outlineLevel="0" collapsed="false">
      <c r="A141" s="152" t="s">
        <v>195</v>
      </c>
      <c r="B141" s="154"/>
      <c r="C141" s="154"/>
      <c r="D141" s="154"/>
      <c r="E141" s="154"/>
      <c r="F141" s="154"/>
      <c r="G141" s="154"/>
      <c r="H141" s="154"/>
      <c r="I141" s="154"/>
      <c r="J141" s="154"/>
      <c r="K141" s="154"/>
      <c r="L141" s="154"/>
      <c r="M141" s="154"/>
      <c r="N141" s="154"/>
      <c r="O141" s="154"/>
      <c r="P141" s="154"/>
      <c r="W141" s="152" t="s">
        <v>195</v>
      </c>
      <c r="X141" s="154"/>
      <c r="Y141" s="154"/>
      <c r="Z141" s="154"/>
      <c r="AA141" s="154"/>
      <c r="AB141" s="154"/>
      <c r="AC141" s="154"/>
      <c r="AD141" s="154"/>
      <c r="AE141" s="154"/>
      <c r="AF141" s="154"/>
      <c r="AG141" s="154"/>
      <c r="AH141" s="154"/>
      <c r="AI141" s="154"/>
      <c r="AJ141" s="154"/>
      <c r="AK141" s="154"/>
      <c r="AL141" s="154"/>
    </row>
    <row r="142" customFormat="false" ht="15" hidden="false" customHeight="false" outlineLevel="0" collapsed="false">
      <c r="A142" s="152" t="s">
        <v>223</v>
      </c>
      <c r="B142" s="154"/>
      <c r="C142" s="154"/>
      <c r="D142" s="154"/>
      <c r="E142" s="154"/>
      <c r="F142" s="154"/>
      <c r="G142" s="154"/>
      <c r="H142" s="154"/>
      <c r="I142" s="154"/>
      <c r="J142" s="154"/>
      <c r="K142" s="154"/>
      <c r="L142" s="154"/>
      <c r="M142" s="154"/>
      <c r="N142" s="154"/>
      <c r="O142" s="154"/>
      <c r="P142" s="154"/>
      <c r="W142" s="152" t="s">
        <v>223</v>
      </c>
      <c r="X142" s="154"/>
      <c r="Y142" s="154"/>
      <c r="Z142" s="154"/>
      <c r="AA142" s="154"/>
      <c r="AB142" s="154"/>
      <c r="AC142" s="154"/>
      <c r="AD142" s="154"/>
      <c r="AE142" s="154"/>
      <c r="AF142" s="154"/>
      <c r="AG142" s="154"/>
      <c r="AH142" s="154"/>
      <c r="AI142" s="154"/>
      <c r="AJ142" s="154"/>
      <c r="AK142" s="154"/>
      <c r="AL142" s="154"/>
    </row>
    <row r="143" customFormat="false" ht="15" hidden="false" customHeight="false" outlineLevel="0" collapsed="false">
      <c r="A143" s="152" t="s">
        <v>250</v>
      </c>
      <c r="B143" s="154"/>
      <c r="C143" s="154"/>
      <c r="D143" s="154"/>
      <c r="E143" s="154"/>
      <c r="F143" s="154"/>
      <c r="G143" s="154"/>
      <c r="H143" s="154"/>
      <c r="I143" s="154"/>
      <c r="J143" s="154"/>
      <c r="K143" s="154"/>
      <c r="L143" s="154"/>
      <c r="M143" s="154"/>
      <c r="N143" s="154"/>
      <c r="O143" s="154"/>
      <c r="P143" s="154"/>
      <c r="W143" s="152" t="s">
        <v>250</v>
      </c>
      <c r="X143" s="154"/>
      <c r="Y143" s="154"/>
      <c r="Z143" s="154"/>
      <c r="AA143" s="154"/>
      <c r="AB143" s="154"/>
      <c r="AC143" s="154"/>
      <c r="AD143" s="154"/>
      <c r="AE143" s="154"/>
      <c r="AF143" s="154"/>
      <c r="AG143" s="154"/>
      <c r="AH143" s="154"/>
      <c r="AI143" s="154"/>
      <c r="AJ143" s="154"/>
      <c r="AK143" s="154"/>
      <c r="AL143" s="154"/>
    </row>
    <row r="149" customFormat="false" ht="15" hidden="false" customHeight="false" outlineLevel="0" collapsed="false">
      <c r="A149" s="148" t="s">
        <v>1099</v>
      </c>
      <c r="B149" s="148"/>
      <c r="C149" s="148"/>
      <c r="D149" s="148"/>
      <c r="E149" s="148"/>
      <c r="F149" s="148"/>
      <c r="G149" s="148"/>
      <c r="H149" s="148"/>
      <c r="I149" s="148"/>
      <c r="J149" s="148"/>
      <c r="K149" s="148"/>
      <c r="L149" s="148"/>
      <c r="M149" s="148"/>
      <c r="N149" s="148"/>
      <c r="O149" s="148"/>
      <c r="P149" s="148"/>
      <c r="R149" s="148" t="s">
        <v>1100</v>
      </c>
      <c r="S149" s="148"/>
      <c r="T149" s="148"/>
      <c r="W149" s="148" t="s">
        <v>1101</v>
      </c>
      <c r="X149" s="148"/>
      <c r="Y149" s="148"/>
      <c r="Z149" s="148"/>
      <c r="AA149" s="148"/>
      <c r="AB149" s="148"/>
      <c r="AC149" s="148"/>
      <c r="AD149" s="148"/>
      <c r="AE149" s="148"/>
      <c r="AF149" s="148"/>
      <c r="AG149" s="148"/>
      <c r="AH149" s="148"/>
      <c r="AI149" s="148"/>
      <c r="AJ149" s="148"/>
      <c r="AK149" s="148"/>
      <c r="AL149" s="148"/>
      <c r="AN149" s="148" t="s">
        <v>1102</v>
      </c>
      <c r="AO149" s="148"/>
      <c r="AP149" s="148"/>
    </row>
    <row r="150" customFormat="false" ht="15" hidden="false" customHeight="false" outlineLevel="0" collapsed="false">
      <c r="A150" s="123"/>
      <c r="B150" s="149" t="s">
        <v>112</v>
      </c>
      <c r="C150" s="149" t="s">
        <v>115</v>
      </c>
      <c r="D150" s="149" t="s">
        <v>119</v>
      </c>
      <c r="E150" s="149" t="s">
        <v>121</v>
      </c>
      <c r="F150" s="149" t="s">
        <v>123</v>
      </c>
      <c r="G150" s="149" t="s">
        <v>125</v>
      </c>
      <c r="H150" s="149" t="s">
        <v>168</v>
      </c>
      <c r="I150" s="149" t="s">
        <v>169</v>
      </c>
      <c r="J150" s="149" t="s">
        <v>170</v>
      </c>
      <c r="K150" s="149" t="s">
        <v>171</v>
      </c>
      <c r="L150" s="149" t="s">
        <v>172</v>
      </c>
      <c r="M150" s="149" t="s">
        <v>173</v>
      </c>
      <c r="N150" s="149" t="s">
        <v>174</v>
      </c>
      <c r="O150" s="149" t="s">
        <v>175</v>
      </c>
      <c r="P150" s="149" t="s">
        <v>176</v>
      </c>
      <c r="R150" s="151"/>
      <c r="S150" s="150" t="s">
        <v>112</v>
      </c>
      <c r="T150" s="150" t="s">
        <v>121</v>
      </c>
      <c r="W150" s="123"/>
      <c r="X150" s="149" t="s">
        <v>112</v>
      </c>
      <c r="Y150" s="149" t="s">
        <v>115</v>
      </c>
      <c r="Z150" s="149" t="s">
        <v>119</v>
      </c>
      <c r="AA150" s="149" t="s">
        <v>121</v>
      </c>
      <c r="AB150" s="149" t="s">
        <v>123</v>
      </c>
      <c r="AC150" s="149" t="s">
        <v>125</v>
      </c>
      <c r="AD150" s="149" t="s">
        <v>168</v>
      </c>
      <c r="AE150" s="149" t="s">
        <v>169</v>
      </c>
      <c r="AF150" s="149" t="s">
        <v>170</v>
      </c>
      <c r="AG150" s="149" t="s">
        <v>171</v>
      </c>
      <c r="AH150" s="149" t="s">
        <v>172</v>
      </c>
      <c r="AI150" s="149" t="s">
        <v>173</v>
      </c>
      <c r="AJ150" s="149" t="s">
        <v>174</v>
      </c>
      <c r="AK150" s="149" t="s">
        <v>175</v>
      </c>
      <c r="AL150" s="149" t="s">
        <v>176</v>
      </c>
      <c r="AN150" s="151"/>
      <c r="AO150" s="150" t="s">
        <v>112</v>
      </c>
      <c r="AP150" s="150" t="s">
        <v>121</v>
      </c>
    </row>
    <row r="151" customFormat="false" ht="15" hidden="false" customHeight="false" outlineLevel="0" collapsed="false">
      <c r="A151" s="152" t="s">
        <v>33</v>
      </c>
      <c r="B151" s="153" t="n">
        <v>4.69</v>
      </c>
      <c r="C151" s="154"/>
      <c r="D151" s="154"/>
      <c r="E151" s="153" t="n">
        <v>4.69</v>
      </c>
      <c r="F151" s="154"/>
      <c r="G151" s="154"/>
      <c r="H151" s="153" t="n">
        <v>4.69</v>
      </c>
      <c r="I151" s="154"/>
      <c r="J151" s="154"/>
      <c r="K151" s="154"/>
      <c r="L151" s="154"/>
      <c r="M151" s="154"/>
      <c r="N151" s="154"/>
      <c r="O151" s="154"/>
      <c r="P151" s="154"/>
      <c r="R151" s="155" t="s">
        <v>33</v>
      </c>
      <c r="S151" s="153" t="n">
        <v>0.73</v>
      </c>
      <c r="T151" s="153" t="n">
        <v>0.73</v>
      </c>
      <c r="W151" s="152" t="s">
        <v>33</v>
      </c>
      <c r="X151" s="156" t="n">
        <v>2</v>
      </c>
      <c r="Y151" s="154"/>
      <c r="Z151" s="154"/>
      <c r="AA151" s="156" t="n">
        <v>2</v>
      </c>
      <c r="AB151" s="154"/>
      <c r="AC151" s="154"/>
      <c r="AD151" s="156" t="n">
        <v>2</v>
      </c>
      <c r="AE151" s="154"/>
      <c r="AF151" s="154"/>
      <c r="AG151" s="154"/>
      <c r="AH151" s="154"/>
      <c r="AI151" s="154"/>
      <c r="AJ151" s="154"/>
      <c r="AK151" s="154"/>
      <c r="AL151" s="154"/>
      <c r="AN151" s="155" t="s">
        <v>33</v>
      </c>
      <c r="AO151" s="156" t="n">
        <v>4</v>
      </c>
      <c r="AP151" s="156" t="n">
        <v>4</v>
      </c>
    </row>
    <row r="152" customFormat="false" ht="15" hidden="false" customHeight="false" outlineLevel="0" collapsed="false">
      <c r="A152" s="152" t="s">
        <v>96</v>
      </c>
      <c r="B152" s="154"/>
      <c r="C152" s="154"/>
      <c r="D152" s="154"/>
      <c r="E152" s="154"/>
      <c r="F152" s="154"/>
      <c r="G152" s="154"/>
      <c r="H152" s="154"/>
      <c r="I152" s="154"/>
      <c r="J152" s="154"/>
      <c r="K152" s="154"/>
      <c r="L152" s="154"/>
      <c r="M152" s="154"/>
      <c r="N152" s="154"/>
      <c r="O152" s="154"/>
      <c r="P152" s="154"/>
      <c r="R152" s="155" t="s">
        <v>177</v>
      </c>
      <c r="S152" s="153" t="n">
        <v>0.73</v>
      </c>
      <c r="T152" s="153" t="n">
        <v>0.73</v>
      </c>
      <c r="W152" s="152" t="s">
        <v>96</v>
      </c>
      <c r="X152" s="154"/>
      <c r="Y152" s="154"/>
      <c r="Z152" s="154"/>
      <c r="AA152" s="154"/>
      <c r="AB152" s="154"/>
      <c r="AC152" s="154"/>
      <c r="AD152" s="154"/>
      <c r="AE152" s="154"/>
      <c r="AF152" s="154"/>
      <c r="AG152" s="154"/>
      <c r="AH152" s="154"/>
      <c r="AI152" s="154"/>
      <c r="AJ152" s="154"/>
      <c r="AK152" s="154"/>
      <c r="AL152" s="154"/>
      <c r="AN152" s="155" t="s">
        <v>177</v>
      </c>
      <c r="AO152" s="156" t="n">
        <v>4</v>
      </c>
      <c r="AP152" s="156" t="n">
        <v>4</v>
      </c>
    </row>
    <row r="153" customFormat="false" ht="15" hidden="false" customHeight="false" outlineLevel="0" collapsed="false">
      <c r="A153" s="152" t="s">
        <v>34</v>
      </c>
      <c r="B153" s="154"/>
      <c r="C153" s="154"/>
      <c r="D153" s="153" t="n">
        <v>-3.96</v>
      </c>
      <c r="E153" s="154"/>
      <c r="F153" s="154"/>
      <c r="G153" s="153" t="n">
        <v>-3.96</v>
      </c>
      <c r="H153" s="154"/>
      <c r="I153" s="154"/>
      <c r="J153" s="154"/>
      <c r="K153" s="154"/>
      <c r="L153" s="154"/>
      <c r="M153" s="154"/>
      <c r="N153" s="154"/>
      <c r="O153" s="154"/>
      <c r="P153" s="153" t="n">
        <v>-3.96</v>
      </c>
      <c r="W153" s="152" t="s">
        <v>34</v>
      </c>
      <c r="X153" s="154"/>
      <c r="Y153" s="154"/>
      <c r="Z153" s="156" t="n">
        <v>2</v>
      </c>
      <c r="AA153" s="154"/>
      <c r="AB153" s="154"/>
      <c r="AC153" s="156" t="n">
        <v>2</v>
      </c>
      <c r="AD153" s="154"/>
      <c r="AE153" s="154"/>
      <c r="AF153" s="154"/>
      <c r="AG153" s="154"/>
      <c r="AH153" s="154"/>
      <c r="AI153" s="154"/>
      <c r="AJ153" s="154"/>
      <c r="AK153" s="154"/>
      <c r="AL153" s="156" t="n">
        <v>2</v>
      </c>
    </row>
    <row r="154" customFormat="false" ht="15" hidden="false" customHeight="false" outlineLevel="0" collapsed="false">
      <c r="A154" s="152" t="s">
        <v>97</v>
      </c>
      <c r="B154" s="153" t="n">
        <v>4.69</v>
      </c>
      <c r="C154" s="154"/>
      <c r="D154" s="154"/>
      <c r="E154" s="153" t="n">
        <v>4.69</v>
      </c>
      <c r="F154" s="154"/>
      <c r="G154" s="154"/>
      <c r="H154" s="153" t="n">
        <v>4.69</v>
      </c>
      <c r="I154" s="154"/>
      <c r="J154" s="154"/>
      <c r="K154" s="154"/>
      <c r="L154" s="154"/>
      <c r="M154" s="154"/>
      <c r="N154" s="154"/>
      <c r="O154" s="154"/>
      <c r="P154" s="154"/>
      <c r="W154" s="152" t="s">
        <v>97</v>
      </c>
      <c r="X154" s="156" t="n">
        <v>2</v>
      </c>
      <c r="Y154" s="154"/>
      <c r="Z154" s="154"/>
      <c r="AA154" s="156" t="n">
        <v>2</v>
      </c>
      <c r="AB154" s="154"/>
      <c r="AC154" s="154"/>
      <c r="AD154" s="156" t="n">
        <v>2</v>
      </c>
      <c r="AE154" s="154"/>
      <c r="AF154" s="154"/>
      <c r="AG154" s="154"/>
      <c r="AH154" s="154"/>
      <c r="AI154" s="154"/>
      <c r="AJ154" s="154"/>
      <c r="AK154" s="154"/>
      <c r="AL154" s="154"/>
    </row>
    <row r="155" customFormat="false" ht="15" hidden="false" customHeight="false" outlineLevel="0" collapsed="false">
      <c r="A155" s="152" t="s">
        <v>98</v>
      </c>
      <c r="B155" s="154"/>
      <c r="C155" s="154"/>
      <c r="D155" s="154"/>
      <c r="E155" s="154"/>
      <c r="F155" s="154"/>
      <c r="G155" s="154"/>
      <c r="H155" s="154"/>
      <c r="I155" s="154"/>
      <c r="J155" s="154"/>
      <c r="K155" s="154"/>
      <c r="L155" s="154"/>
      <c r="M155" s="154"/>
      <c r="N155" s="154"/>
      <c r="O155" s="154"/>
      <c r="P155" s="154"/>
      <c r="W155" s="152" t="s">
        <v>98</v>
      </c>
      <c r="X155" s="154"/>
      <c r="Y155" s="154"/>
      <c r="Z155" s="154"/>
      <c r="AA155" s="154"/>
      <c r="AB155" s="154"/>
      <c r="AC155" s="154"/>
      <c r="AD155" s="154"/>
      <c r="AE155" s="154"/>
      <c r="AF155" s="154"/>
      <c r="AG155" s="154"/>
      <c r="AH155" s="154"/>
      <c r="AI155" s="154"/>
      <c r="AJ155" s="154"/>
      <c r="AK155" s="154"/>
      <c r="AL155" s="154"/>
    </row>
    <row r="156" customFormat="false" ht="15" hidden="false" customHeight="false" outlineLevel="0" collapsed="false">
      <c r="A156" s="152" t="s">
        <v>99</v>
      </c>
      <c r="B156" s="154"/>
      <c r="C156" s="154"/>
      <c r="D156" s="153" t="n">
        <v>-3.96</v>
      </c>
      <c r="E156" s="154"/>
      <c r="F156" s="154"/>
      <c r="G156" s="153" t="n">
        <v>-3.96</v>
      </c>
      <c r="H156" s="154"/>
      <c r="I156" s="154"/>
      <c r="J156" s="154"/>
      <c r="K156" s="154"/>
      <c r="L156" s="154"/>
      <c r="M156" s="154"/>
      <c r="N156" s="154"/>
      <c r="O156" s="154"/>
      <c r="P156" s="153" t="n">
        <v>-3.96</v>
      </c>
      <c r="W156" s="152" t="s">
        <v>99</v>
      </c>
      <c r="X156" s="154"/>
      <c r="Y156" s="154"/>
      <c r="Z156" s="156" t="n">
        <v>2</v>
      </c>
      <c r="AA156" s="154"/>
      <c r="AB156" s="154"/>
      <c r="AC156" s="156" t="n">
        <v>2</v>
      </c>
      <c r="AD156" s="154"/>
      <c r="AE156" s="154"/>
      <c r="AF156" s="154"/>
      <c r="AG156" s="154"/>
      <c r="AH156" s="154"/>
      <c r="AI156" s="154"/>
      <c r="AJ156" s="154"/>
      <c r="AK156" s="154"/>
      <c r="AL156" s="156" t="n">
        <v>2</v>
      </c>
    </row>
    <row r="157" customFormat="false" ht="15" hidden="false" customHeight="false" outlineLevel="0" collapsed="false">
      <c r="A157" s="152" t="s">
        <v>177</v>
      </c>
      <c r="B157" s="153" t="n">
        <v>4.69</v>
      </c>
      <c r="C157" s="154"/>
      <c r="D157" s="154"/>
      <c r="E157" s="153" t="n">
        <v>4.69</v>
      </c>
      <c r="F157" s="154"/>
      <c r="G157" s="154"/>
      <c r="H157" s="153" t="n">
        <v>4.69</v>
      </c>
      <c r="I157" s="154"/>
      <c r="J157" s="154"/>
      <c r="K157" s="154"/>
      <c r="L157" s="154"/>
      <c r="M157" s="154"/>
      <c r="N157" s="154"/>
      <c r="O157" s="154"/>
      <c r="P157" s="154"/>
      <c r="W157" s="152" t="s">
        <v>177</v>
      </c>
      <c r="X157" s="156" t="n">
        <v>2</v>
      </c>
      <c r="Y157" s="154"/>
      <c r="Z157" s="154"/>
      <c r="AA157" s="156" t="n">
        <v>2</v>
      </c>
      <c r="AB157" s="154"/>
      <c r="AC157" s="154"/>
      <c r="AD157" s="156" t="n">
        <v>2</v>
      </c>
      <c r="AE157" s="154"/>
      <c r="AF157" s="154"/>
      <c r="AG157" s="154"/>
      <c r="AH157" s="154"/>
      <c r="AI157" s="154"/>
      <c r="AJ157" s="154"/>
      <c r="AK157" s="154"/>
      <c r="AL157" s="154"/>
    </row>
    <row r="158" customFormat="false" ht="15" hidden="false" customHeight="false" outlineLevel="0" collapsed="false">
      <c r="A158" s="152" t="s">
        <v>205</v>
      </c>
      <c r="B158" s="154"/>
      <c r="C158" s="154"/>
      <c r="D158" s="154"/>
      <c r="E158" s="154"/>
      <c r="F158" s="154"/>
      <c r="G158" s="154"/>
      <c r="H158" s="154"/>
      <c r="I158" s="154"/>
      <c r="J158" s="154"/>
      <c r="K158" s="154"/>
      <c r="L158" s="154"/>
      <c r="M158" s="154"/>
      <c r="N158" s="154"/>
      <c r="O158" s="154"/>
      <c r="P158" s="154"/>
      <c r="W158" s="152" t="s">
        <v>205</v>
      </c>
      <c r="X158" s="154"/>
      <c r="Y158" s="154"/>
      <c r="Z158" s="154"/>
      <c r="AA158" s="154"/>
      <c r="AB158" s="154"/>
      <c r="AC158" s="154"/>
      <c r="AD158" s="154"/>
      <c r="AE158" s="154"/>
      <c r="AF158" s="154"/>
      <c r="AG158" s="154"/>
      <c r="AH158" s="154"/>
      <c r="AI158" s="154"/>
      <c r="AJ158" s="154"/>
      <c r="AK158" s="154"/>
      <c r="AL158" s="154"/>
    </row>
    <row r="159" customFormat="false" ht="15" hidden="false" customHeight="false" outlineLevel="0" collapsed="false">
      <c r="A159" s="152" t="s">
        <v>233</v>
      </c>
      <c r="B159" s="154"/>
      <c r="C159" s="154"/>
      <c r="D159" s="154"/>
      <c r="E159" s="154"/>
      <c r="F159" s="154"/>
      <c r="G159" s="154"/>
      <c r="H159" s="154"/>
      <c r="I159" s="154"/>
      <c r="J159" s="154"/>
      <c r="K159" s="154"/>
      <c r="L159" s="154"/>
      <c r="M159" s="154"/>
      <c r="N159" s="154"/>
      <c r="O159" s="154"/>
      <c r="P159" s="154"/>
      <c r="W159" s="152" t="s">
        <v>233</v>
      </c>
      <c r="X159" s="154"/>
      <c r="Y159" s="154"/>
      <c r="Z159" s="154"/>
      <c r="AA159" s="154"/>
      <c r="AB159" s="154"/>
      <c r="AC159" s="154"/>
      <c r="AD159" s="154"/>
      <c r="AE159" s="154"/>
      <c r="AF159" s="154"/>
      <c r="AG159" s="154"/>
      <c r="AH159" s="154"/>
      <c r="AI159" s="154"/>
      <c r="AJ159" s="154"/>
      <c r="AK159" s="154"/>
      <c r="AL159" s="154"/>
    </row>
    <row r="160" customFormat="false" ht="15" hidden="false" customHeight="false" outlineLevel="0" collapsed="false">
      <c r="A160" s="152" t="s">
        <v>186</v>
      </c>
      <c r="B160" s="154"/>
      <c r="C160" s="154"/>
      <c r="D160" s="154"/>
      <c r="E160" s="154"/>
      <c r="F160" s="154"/>
      <c r="G160" s="154"/>
      <c r="H160" s="154"/>
      <c r="I160" s="154"/>
      <c r="J160" s="154"/>
      <c r="K160" s="154"/>
      <c r="L160" s="154"/>
      <c r="M160" s="154"/>
      <c r="N160" s="154"/>
      <c r="O160" s="154"/>
      <c r="P160" s="154"/>
      <c r="W160" s="152" t="s">
        <v>186</v>
      </c>
      <c r="X160" s="154"/>
      <c r="Y160" s="154"/>
      <c r="Z160" s="154"/>
      <c r="AA160" s="154"/>
      <c r="AB160" s="154"/>
      <c r="AC160" s="154"/>
      <c r="AD160" s="154"/>
      <c r="AE160" s="154"/>
      <c r="AF160" s="154"/>
      <c r="AG160" s="154"/>
      <c r="AH160" s="154"/>
      <c r="AI160" s="154"/>
      <c r="AJ160" s="154"/>
      <c r="AK160" s="154"/>
      <c r="AL160" s="154"/>
    </row>
    <row r="161" customFormat="false" ht="15" hidden="false" customHeight="false" outlineLevel="0" collapsed="false">
      <c r="A161" s="152" t="s">
        <v>215</v>
      </c>
      <c r="B161" s="154"/>
      <c r="C161" s="154"/>
      <c r="D161" s="154"/>
      <c r="E161" s="154"/>
      <c r="F161" s="154"/>
      <c r="G161" s="154"/>
      <c r="H161" s="154"/>
      <c r="I161" s="154"/>
      <c r="J161" s="154"/>
      <c r="K161" s="154"/>
      <c r="L161" s="154"/>
      <c r="M161" s="154"/>
      <c r="N161" s="154"/>
      <c r="O161" s="154"/>
      <c r="P161" s="154"/>
      <c r="W161" s="152" t="s">
        <v>215</v>
      </c>
      <c r="X161" s="154"/>
      <c r="Y161" s="154"/>
      <c r="Z161" s="154"/>
      <c r="AA161" s="154"/>
      <c r="AB161" s="154"/>
      <c r="AC161" s="154"/>
      <c r="AD161" s="154"/>
      <c r="AE161" s="154"/>
      <c r="AF161" s="154"/>
      <c r="AG161" s="154"/>
      <c r="AH161" s="154"/>
      <c r="AI161" s="154"/>
      <c r="AJ161" s="154"/>
      <c r="AK161" s="154"/>
      <c r="AL161" s="154"/>
    </row>
    <row r="162" customFormat="false" ht="15" hidden="false" customHeight="false" outlineLevel="0" collapsed="false">
      <c r="A162" s="152" t="s">
        <v>243</v>
      </c>
      <c r="B162" s="154"/>
      <c r="C162" s="154"/>
      <c r="D162" s="154"/>
      <c r="E162" s="154"/>
      <c r="F162" s="154"/>
      <c r="G162" s="154"/>
      <c r="H162" s="154"/>
      <c r="I162" s="154"/>
      <c r="J162" s="154"/>
      <c r="K162" s="154"/>
      <c r="L162" s="154"/>
      <c r="M162" s="154"/>
      <c r="N162" s="154"/>
      <c r="O162" s="154"/>
      <c r="P162" s="154"/>
      <c r="W162" s="152" t="s">
        <v>243</v>
      </c>
      <c r="X162" s="154"/>
      <c r="Y162" s="154"/>
      <c r="Z162" s="154"/>
      <c r="AA162" s="154"/>
      <c r="AB162" s="154"/>
      <c r="AC162" s="154"/>
      <c r="AD162" s="154"/>
      <c r="AE162" s="154"/>
      <c r="AF162" s="154"/>
      <c r="AG162" s="154"/>
      <c r="AH162" s="154"/>
      <c r="AI162" s="154"/>
      <c r="AJ162" s="154"/>
      <c r="AK162" s="154"/>
      <c r="AL162" s="154"/>
    </row>
    <row r="163" customFormat="false" ht="15" hidden="false" customHeight="false" outlineLevel="0" collapsed="false">
      <c r="A163" s="152" t="s">
        <v>195</v>
      </c>
      <c r="B163" s="154"/>
      <c r="C163" s="154"/>
      <c r="D163" s="154"/>
      <c r="E163" s="154"/>
      <c r="F163" s="154"/>
      <c r="G163" s="154"/>
      <c r="H163" s="154"/>
      <c r="I163" s="154"/>
      <c r="J163" s="154"/>
      <c r="K163" s="154"/>
      <c r="L163" s="154"/>
      <c r="M163" s="154"/>
      <c r="N163" s="154"/>
      <c r="O163" s="154"/>
      <c r="P163" s="154"/>
      <c r="W163" s="152" t="s">
        <v>195</v>
      </c>
      <c r="X163" s="154"/>
      <c r="Y163" s="154"/>
      <c r="Z163" s="154"/>
      <c r="AA163" s="154"/>
      <c r="AB163" s="154"/>
      <c r="AC163" s="154"/>
      <c r="AD163" s="154"/>
      <c r="AE163" s="154"/>
      <c r="AF163" s="154"/>
      <c r="AG163" s="154"/>
      <c r="AH163" s="154"/>
      <c r="AI163" s="154"/>
      <c r="AJ163" s="154"/>
      <c r="AK163" s="154"/>
      <c r="AL163" s="154"/>
    </row>
    <row r="164" customFormat="false" ht="15" hidden="false" customHeight="false" outlineLevel="0" collapsed="false">
      <c r="A164" s="152" t="s">
        <v>223</v>
      </c>
      <c r="B164" s="154"/>
      <c r="C164" s="154"/>
      <c r="D164" s="154"/>
      <c r="E164" s="154"/>
      <c r="F164" s="154"/>
      <c r="G164" s="154"/>
      <c r="H164" s="154"/>
      <c r="I164" s="154"/>
      <c r="J164" s="154"/>
      <c r="K164" s="154"/>
      <c r="L164" s="154"/>
      <c r="M164" s="154"/>
      <c r="N164" s="154"/>
      <c r="O164" s="154"/>
      <c r="P164" s="154"/>
      <c r="W164" s="152" t="s">
        <v>223</v>
      </c>
      <c r="X164" s="154"/>
      <c r="Y164" s="154"/>
      <c r="Z164" s="154"/>
      <c r="AA164" s="154"/>
      <c r="AB164" s="154"/>
      <c r="AC164" s="154"/>
      <c r="AD164" s="154"/>
      <c r="AE164" s="154"/>
      <c r="AF164" s="154"/>
      <c r="AG164" s="154"/>
      <c r="AH164" s="154"/>
      <c r="AI164" s="154"/>
      <c r="AJ164" s="154"/>
      <c r="AK164" s="154"/>
      <c r="AL164" s="154"/>
    </row>
    <row r="165" customFormat="false" ht="15" hidden="false" customHeight="false" outlineLevel="0" collapsed="false">
      <c r="A165" s="152" t="s">
        <v>250</v>
      </c>
      <c r="B165" s="154"/>
      <c r="C165" s="154"/>
      <c r="D165" s="153" t="n">
        <v>-3.96</v>
      </c>
      <c r="E165" s="154"/>
      <c r="F165" s="154"/>
      <c r="G165" s="153" t="n">
        <v>-3.96</v>
      </c>
      <c r="H165" s="154"/>
      <c r="I165" s="154"/>
      <c r="J165" s="154"/>
      <c r="K165" s="154"/>
      <c r="L165" s="154"/>
      <c r="M165" s="154"/>
      <c r="N165" s="154"/>
      <c r="O165" s="154"/>
      <c r="P165" s="153" t="n">
        <v>-3.96</v>
      </c>
      <c r="W165" s="152" t="s">
        <v>250</v>
      </c>
      <c r="X165" s="154"/>
      <c r="Y165" s="154"/>
      <c r="Z165" s="156" t="n">
        <v>2</v>
      </c>
      <c r="AA165" s="154"/>
      <c r="AB165" s="154"/>
      <c r="AC165" s="156" t="n">
        <v>2</v>
      </c>
      <c r="AD165" s="154"/>
      <c r="AE165" s="154"/>
      <c r="AF165" s="154"/>
      <c r="AG165" s="154"/>
      <c r="AH165" s="154"/>
      <c r="AI165" s="154"/>
      <c r="AJ165" s="154"/>
      <c r="AK165" s="154"/>
      <c r="AL165" s="156" t="n">
        <v>2</v>
      </c>
    </row>
    <row r="169" customFormat="false" ht="15" hidden="false" customHeight="false" outlineLevel="0" collapsed="false">
      <c r="A169" s="148" t="s">
        <v>1103</v>
      </c>
      <c r="B169" s="148"/>
      <c r="C169" s="148"/>
      <c r="D169" s="148"/>
      <c r="E169" s="148"/>
      <c r="F169" s="148"/>
      <c r="G169" s="148"/>
      <c r="H169" s="148"/>
      <c r="I169" s="148"/>
      <c r="J169" s="148"/>
      <c r="K169" s="148"/>
      <c r="L169" s="148"/>
      <c r="M169" s="148"/>
      <c r="N169" s="148"/>
      <c r="O169" s="148"/>
      <c r="P169" s="148"/>
      <c r="R169" s="148" t="s">
        <v>1104</v>
      </c>
      <c r="S169" s="148"/>
      <c r="T169" s="148"/>
      <c r="W169" s="148" t="s">
        <v>1105</v>
      </c>
      <c r="X169" s="148"/>
      <c r="Y169" s="148"/>
      <c r="Z169" s="148"/>
      <c r="AA169" s="148"/>
      <c r="AB169" s="148"/>
      <c r="AC169" s="148"/>
      <c r="AD169" s="148"/>
      <c r="AE169" s="148"/>
      <c r="AF169" s="148"/>
      <c r="AG169" s="148"/>
      <c r="AH169" s="148"/>
      <c r="AI169" s="148"/>
      <c r="AJ169" s="148"/>
      <c r="AK169" s="148"/>
      <c r="AL169" s="148"/>
      <c r="AN169" s="148" t="s">
        <v>1104</v>
      </c>
      <c r="AO169" s="148"/>
      <c r="AP169" s="148"/>
    </row>
    <row r="170" customFormat="false" ht="15" hidden="false" customHeight="false" outlineLevel="0" collapsed="false">
      <c r="A170" s="123"/>
      <c r="B170" s="149" t="s">
        <v>112</v>
      </c>
      <c r="C170" s="149" t="s">
        <v>115</v>
      </c>
      <c r="D170" s="149" t="s">
        <v>119</v>
      </c>
      <c r="E170" s="149" t="s">
        <v>121</v>
      </c>
      <c r="F170" s="149" t="s">
        <v>123</v>
      </c>
      <c r="G170" s="149" t="s">
        <v>125</v>
      </c>
      <c r="H170" s="149" t="s">
        <v>168</v>
      </c>
      <c r="I170" s="149" t="s">
        <v>169</v>
      </c>
      <c r="J170" s="149" t="s">
        <v>170</v>
      </c>
      <c r="K170" s="149" t="s">
        <v>171</v>
      </c>
      <c r="L170" s="149" t="s">
        <v>172</v>
      </c>
      <c r="M170" s="149" t="s">
        <v>173</v>
      </c>
      <c r="N170" s="149" t="s">
        <v>174</v>
      </c>
      <c r="O170" s="149" t="s">
        <v>175</v>
      </c>
      <c r="P170" s="149" t="s">
        <v>176</v>
      </c>
      <c r="R170" s="151"/>
      <c r="S170" s="150" t="s">
        <v>112</v>
      </c>
      <c r="T170" s="150" t="s">
        <v>121</v>
      </c>
      <c r="W170" s="123"/>
      <c r="X170" s="149" t="s">
        <v>112</v>
      </c>
      <c r="Y170" s="149" t="s">
        <v>115</v>
      </c>
      <c r="Z170" s="149" t="s">
        <v>119</v>
      </c>
      <c r="AA170" s="149" t="s">
        <v>121</v>
      </c>
      <c r="AB170" s="149" t="s">
        <v>123</v>
      </c>
      <c r="AC170" s="149" t="s">
        <v>125</v>
      </c>
      <c r="AD170" s="149" t="s">
        <v>168</v>
      </c>
      <c r="AE170" s="149" t="s">
        <v>169</v>
      </c>
      <c r="AF170" s="149" t="s">
        <v>170</v>
      </c>
      <c r="AG170" s="149" t="s">
        <v>171</v>
      </c>
      <c r="AH170" s="149" t="s">
        <v>172</v>
      </c>
      <c r="AI170" s="149" t="s">
        <v>173</v>
      </c>
      <c r="AJ170" s="149" t="s">
        <v>174</v>
      </c>
      <c r="AK170" s="149" t="s">
        <v>175</v>
      </c>
      <c r="AL170" s="149" t="s">
        <v>176</v>
      </c>
      <c r="AN170" s="151"/>
      <c r="AO170" s="150" t="s">
        <v>112</v>
      </c>
      <c r="AP170" s="150" t="s">
        <v>121</v>
      </c>
    </row>
    <row r="171" customFormat="false" ht="15" hidden="false" customHeight="false" outlineLevel="0" collapsed="false">
      <c r="A171" s="152" t="s">
        <v>33</v>
      </c>
      <c r="B171" s="153" t="n">
        <v>4.69</v>
      </c>
      <c r="C171" s="154"/>
      <c r="D171" s="154"/>
      <c r="E171" s="153" t="n">
        <v>4.69</v>
      </c>
      <c r="F171" s="154"/>
      <c r="G171" s="154"/>
      <c r="H171" s="153" t="n">
        <v>4.69</v>
      </c>
      <c r="I171" s="154"/>
      <c r="J171" s="154"/>
      <c r="K171" s="154"/>
      <c r="L171" s="154"/>
      <c r="M171" s="154"/>
      <c r="N171" s="154"/>
      <c r="O171" s="154"/>
      <c r="P171" s="154"/>
      <c r="R171" s="155" t="s">
        <v>33</v>
      </c>
      <c r="S171" s="153" t="n">
        <v>8.65</v>
      </c>
      <c r="T171" s="153" t="n">
        <v>8.65</v>
      </c>
      <c r="W171" s="152" t="s">
        <v>33</v>
      </c>
      <c r="X171" s="154"/>
      <c r="Y171" s="154"/>
      <c r="Z171" s="154"/>
      <c r="AA171" s="154"/>
      <c r="AB171" s="154"/>
      <c r="AC171" s="154"/>
      <c r="AD171" s="154"/>
      <c r="AE171" s="154"/>
      <c r="AF171" s="154"/>
      <c r="AG171" s="154"/>
      <c r="AH171" s="154"/>
      <c r="AI171" s="154"/>
      <c r="AJ171" s="154"/>
      <c r="AK171" s="154"/>
      <c r="AL171" s="154"/>
      <c r="AN171" s="155" t="s">
        <v>33</v>
      </c>
      <c r="AO171" s="153" t="n">
        <v>0</v>
      </c>
      <c r="AP171" s="153" t="n">
        <v>0</v>
      </c>
    </row>
    <row r="172" customFormat="false" ht="15" hidden="false" customHeight="false" outlineLevel="0" collapsed="false">
      <c r="A172" s="152" t="s">
        <v>96</v>
      </c>
      <c r="B172" s="154"/>
      <c r="C172" s="154"/>
      <c r="D172" s="154"/>
      <c r="E172" s="154"/>
      <c r="F172" s="154"/>
      <c r="G172" s="154"/>
      <c r="H172" s="154"/>
      <c r="I172" s="154"/>
      <c r="J172" s="154"/>
      <c r="K172" s="154"/>
      <c r="L172" s="154"/>
      <c r="M172" s="154"/>
      <c r="N172" s="154"/>
      <c r="O172" s="154"/>
      <c r="P172" s="154"/>
      <c r="R172" s="155" t="s">
        <v>177</v>
      </c>
      <c r="S172" s="153" t="n">
        <v>8.65</v>
      </c>
      <c r="T172" s="153" t="n">
        <v>8.65</v>
      </c>
      <c r="W172" s="152" t="s">
        <v>96</v>
      </c>
      <c r="X172" s="154"/>
      <c r="Y172" s="154"/>
      <c r="Z172" s="154"/>
      <c r="AA172" s="154"/>
      <c r="AB172" s="154"/>
      <c r="AC172" s="154"/>
      <c r="AD172" s="154"/>
      <c r="AE172" s="154"/>
      <c r="AF172" s="154"/>
      <c r="AG172" s="154"/>
      <c r="AH172" s="154"/>
      <c r="AI172" s="154"/>
      <c r="AJ172" s="154"/>
      <c r="AK172" s="154"/>
      <c r="AL172" s="154"/>
      <c r="AN172" s="155" t="s">
        <v>177</v>
      </c>
      <c r="AO172" s="153" t="n">
        <v>0</v>
      </c>
      <c r="AP172" s="153" t="n">
        <v>0</v>
      </c>
    </row>
    <row r="173" customFormat="false" ht="15" hidden="false" customHeight="false" outlineLevel="0" collapsed="false">
      <c r="A173" s="152" t="s">
        <v>34</v>
      </c>
      <c r="B173" s="154"/>
      <c r="C173" s="154"/>
      <c r="D173" s="153" t="n">
        <v>3.96</v>
      </c>
      <c r="E173" s="154"/>
      <c r="F173" s="154"/>
      <c r="G173" s="153" t="n">
        <v>3.96</v>
      </c>
      <c r="H173" s="154"/>
      <c r="I173" s="154"/>
      <c r="J173" s="154"/>
      <c r="K173" s="154"/>
      <c r="L173" s="154"/>
      <c r="M173" s="154"/>
      <c r="N173" s="154"/>
      <c r="O173" s="154"/>
      <c r="P173" s="153" t="n">
        <v>3.96</v>
      </c>
      <c r="W173" s="152" t="s">
        <v>34</v>
      </c>
      <c r="X173" s="154"/>
      <c r="Y173" s="154"/>
      <c r="Z173" s="154"/>
      <c r="AA173" s="154"/>
      <c r="AB173" s="154"/>
      <c r="AC173" s="154"/>
      <c r="AD173" s="154"/>
      <c r="AE173" s="154"/>
      <c r="AF173" s="154"/>
      <c r="AG173" s="154"/>
      <c r="AH173" s="154"/>
      <c r="AI173" s="154"/>
      <c r="AJ173" s="154"/>
      <c r="AK173" s="154"/>
      <c r="AL173" s="154"/>
    </row>
    <row r="174" customFormat="false" ht="15" hidden="false" customHeight="false" outlineLevel="0" collapsed="false">
      <c r="A174" s="152" t="s">
        <v>97</v>
      </c>
      <c r="B174" s="153" t="n">
        <v>4.69</v>
      </c>
      <c r="C174" s="154"/>
      <c r="D174" s="154"/>
      <c r="E174" s="153" t="n">
        <v>4.69</v>
      </c>
      <c r="F174" s="154"/>
      <c r="G174" s="154"/>
      <c r="H174" s="153" t="n">
        <v>4.69</v>
      </c>
      <c r="I174" s="154"/>
      <c r="J174" s="154"/>
      <c r="K174" s="154"/>
      <c r="L174" s="154"/>
      <c r="M174" s="154"/>
      <c r="N174" s="154"/>
      <c r="O174" s="154"/>
      <c r="P174" s="154"/>
      <c r="W174" s="152" t="s">
        <v>97</v>
      </c>
      <c r="X174" s="154"/>
      <c r="Y174" s="154"/>
      <c r="Z174" s="154"/>
      <c r="AA174" s="154"/>
      <c r="AB174" s="154"/>
      <c r="AC174" s="154"/>
      <c r="AD174" s="154"/>
      <c r="AE174" s="154"/>
      <c r="AF174" s="154"/>
      <c r="AG174" s="154"/>
      <c r="AH174" s="154"/>
      <c r="AI174" s="154"/>
      <c r="AJ174" s="154"/>
      <c r="AK174" s="154"/>
      <c r="AL174" s="154"/>
    </row>
    <row r="175" customFormat="false" ht="15" hidden="false" customHeight="false" outlineLevel="0" collapsed="false">
      <c r="A175" s="152" t="s">
        <v>98</v>
      </c>
      <c r="B175" s="154"/>
      <c r="C175" s="154"/>
      <c r="D175" s="154"/>
      <c r="E175" s="154"/>
      <c r="F175" s="154"/>
      <c r="G175" s="154"/>
      <c r="H175" s="154"/>
      <c r="I175" s="154"/>
      <c r="J175" s="154"/>
      <c r="K175" s="154"/>
      <c r="L175" s="154"/>
      <c r="M175" s="154"/>
      <c r="N175" s="154"/>
      <c r="O175" s="154"/>
      <c r="P175" s="154"/>
      <c r="W175" s="152" t="s">
        <v>98</v>
      </c>
      <c r="X175" s="154"/>
      <c r="Y175" s="154"/>
      <c r="Z175" s="154"/>
      <c r="AA175" s="154"/>
      <c r="AB175" s="154"/>
      <c r="AC175" s="154"/>
      <c r="AD175" s="154"/>
      <c r="AE175" s="154"/>
      <c r="AF175" s="154"/>
      <c r="AG175" s="154"/>
      <c r="AH175" s="154"/>
      <c r="AI175" s="154"/>
      <c r="AJ175" s="154"/>
      <c r="AK175" s="154"/>
      <c r="AL175" s="154"/>
    </row>
    <row r="176" customFormat="false" ht="15" hidden="false" customHeight="false" outlineLevel="0" collapsed="false">
      <c r="A176" s="152" t="s">
        <v>99</v>
      </c>
      <c r="B176" s="154"/>
      <c r="C176" s="154"/>
      <c r="D176" s="153" t="n">
        <v>3.96</v>
      </c>
      <c r="E176" s="154"/>
      <c r="F176" s="154"/>
      <c r="G176" s="153" t="n">
        <v>3.96</v>
      </c>
      <c r="H176" s="154"/>
      <c r="I176" s="154"/>
      <c r="J176" s="154"/>
      <c r="K176" s="154"/>
      <c r="L176" s="154"/>
      <c r="M176" s="154"/>
      <c r="N176" s="154"/>
      <c r="O176" s="154"/>
      <c r="P176" s="153" t="n">
        <v>3.96</v>
      </c>
      <c r="W176" s="152" t="s">
        <v>99</v>
      </c>
      <c r="X176" s="154"/>
      <c r="Y176" s="154"/>
      <c r="Z176" s="154"/>
      <c r="AA176" s="154"/>
      <c r="AB176" s="154"/>
      <c r="AC176" s="154"/>
      <c r="AD176" s="154"/>
      <c r="AE176" s="154"/>
      <c r="AF176" s="154"/>
      <c r="AG176" s="154"/>
      <c r="AH176" s="154"/>
      <c r="AI176" s="154"/>
      <c r="AJ176" s="154"/>
      <c r="AK176" s="154"/>
      <c r="AL176" s="154"/>
    </row>
    <row r="177" customFormat="false" ht="15" hidden="false" customHeight="false" outlineLevel="0" collapsed="false">
      <c r="A177" s="152" t="s">
        <v>177</v>
      </c>
      <c r="B177" s="153" t="n">
        <v>4.69</v>
      </c>
      <c r="C177" s="154"/>
      <c r="D177" s="154"/>
      <c r="E177" s="153" t="n">
        <v>4.69</v>
      </c>
      <c r="F177" s="154"/>
      <c r="G177" s="154"/>
      <c r="H177" s="153" t="n">
        <v>4.69</v>
      </c>
      <c r="I177" s="154"/>
      <c r="J177" s="154"/>
      <c r="K177" s="154"/>
      <c r="L177" s="154"/>
      <c r="M177" s="154"/>
      <c r="N177" s="154"/>
      <c r="O177" s="154"/>
      <c r="P177" s="154"/>
      <c r="W177" s="152" t="s">
        <v>177</v>
      </c>
      <c r="X177" s="154"/>
      <c r="Y177" s="154"/>
      <c r="Z177" s="154"/>
      <c r="AA177" s="154"/>
      <c r="AB177" s="154"/>
      <c r="AC177" s="154"/>
      <c r="AD177" s="154"/>
      <c r="AE177" s="154"/>
      <c r="AF177" s="154"/>
      <c r="AG177" s="154"/>
      <c r="AH177" s="154"/>
      <c r="AI177" s="154"/>
      <c r="AJ177" s="154"/>
      <c r="AK177" s="154"/>
      <c r="AL177" s="154"/>
    </row>
    <row r="178" customFormat="false" ht="15" hidden="false" customHeight="false" outlineLevel="0" collapsed="false">
      <c r="A178" s="152" t="s">
        <v>205</v>
      </c>
      <c r="B178" s="154"/>
      <c r="C178" s="154"/>
      <c r="D178" s="154"/>
      <c r="E178" s="154"/>
      <c r="F178" s="154"/>
      <c r="G178" s="154"/>
      <c r="H178" s="154"/>
      <c r="I178" s="154"/>
      <c r="J178" s="154"/>
      <c r="K178" s="154"/>
      <c r="L178" s="154"/>
      <c r="M178" s="154"/>
      <c r="N178" s="154"/>
      <c r="O178" s="154"/>
      <c r="P178" s="154"/>
      <c r="W178" s="152" t="s">
        <v>205</v>
      </c>
      <c r="X178" s="154"/>
      <c r="Y178" s="154"/>
      <c r="Z178" s="154"/>
      <c r="AA178" s="154"/>
      <c r="AB178" s="154"/>
      <c r="AC178" s="154"/>
      <c r="AD178" s="154"/>
      <c r="AE178" s="154"/>
      <c r="AF178" s="154"/>
      <c r="AG178" s="154"/>
      <c r="AH178" s="154"/>
      <c r="AI178" s="154"/>
      <c r="AJ178" s="154"/>
      <c r="AK178" s="154"/>
      <c r="AL178" s="154"/>
    </row>
    <row r="179" customFormat="false" ht="15" hidden="false" customHeight="false" outlineLevel="0" collapsed="false">
      <c r="A179" s="152" t="s">
        <v>233</v>
      </c>
      <c r="B179" s="154"/>
      <c r="C179" s="154"/>
      <c r="D179" s="154"/>
      <c r="E179" s="154"/>
      <c r="F179" s="154"/>
      <c r="G179" s="154"/>
      <c r="H179" s="154"/>
      <c r="I179" s="154"/>
      <c r="J179" s="154"/>
      <c r="K179" s="154"/>
      <c r="L179" s="154"/>
      <c r="M179" s="154"/>
      <c r="N179" s="154"/>
      <c r="O179" s="154"/>
      <c r="P179" s="154"/>
      <c r="W179" s="152" t="s">
        <v>233</v>
      </c>
      <c r="X179" s="154"/>
      <c r="Y179" s="154"/>
      <c r="Z179" s="154"/>
      <c r="AA179" s="154"/>
      <c r="AB179" s="154"/>
      <c r="AC179" s="154"/>
      <c r="AD179" s="154"/>
      <c r="AE179" s="154"/>
      <c r="AF179" s="154"/>
      <c r="AG179" s="154"/>
      <c r="AH179" s="154"/>
      <c r="AI179" s="154"/>
      <c r="AJ179" s="154"/>
      <c r="AK179" s="154"/>
      <c r="AL179" s="154"/>
    </row>
    <row r="180" customFormat="false" ht="15" hidden="false" customHeight="false" outlineLevel="0" collapsed="false">
      <c r="A180" s="152" t="s">
        <v>186</v>
      </c>
      <c r="B180" s="154"/>
      <c r="C180" s="154"/>
      <c r="D180" s="154"/>
      <c r="E180" s="154"/>
      <c r="F180" s="154"/>
      <c r="G180" s="154"/>
      <c r="H180" s="154"/>
      <c r="I180" s="154"/>
      <c r="J180" s="154"/>
      <c r="K180" s="154"/>
      <c r="L180" s="154"/>
      <c r="M180" s="154"/>
      <c r="N180" s="154"/>
      <c r="O180" s="154"/>
      <c r="P180" s="154"/>
      <c r="W180" s="152" t="s">
        <v>186</v>
      </c>
      <c r="X180" s="154"/>
      <c r="Y180" s="154"/>
      <c r="Z180" s="154"/>
      <c r="AA180" s="154"/>
      <c r="AB180" s="154"/>
      <c r="AC180" s="154"/>
      <c r="AD180" s="154"/>
      <c r="AE180" s="154"/>
      <c r="AF180" s="154"/>
      <c r="AG180" s="154"/>
      <c r="AH180" s="154"/>
      <c r="AI180" s="154"/>
      <c r="AJ180" s="154"/>
      <c r="AK180" s="154"/>
      <c r="AL180" s="154"/>
    </row>
    <row r="181" customFormat="false" ht="15" hidden="false" customHeight="false" outlineLevel="0" collapsed="false">
      <c r="A181" s="152" t="s">
        <v>215</v>
      </c>
      <c r="B181" s="154"/>
      <c r="C181" s="154"/>
      <c r="D181" s="154"/>
      <c r="E181" s="154"/>
      <c r="F181" s="154"/>
      <c r="G181" s="154"/>
      <c r="H181" s="154"/>
      <c r="I181" s="154"/>
      <c r="J181" s="154"/>
      <c r="K181" s="154"/>
      <c r="L181" s="154"/>
      <c r="M181" s="154"/>
      <c r="N181" s="154"/>
      <c r="O181" s="154"/>
      <c r="P181" s="154"/>
      <c r="W181" s="152" t="s">
        <v>215</v>
      </c>
      <c r="X181" s="154"/>
      <c r="Y181" s="154"/>
      <c r="Z181" s="154"/>
      <c r="AA181" s="154"/>
      <c r="AB181" s="154"/>
      <c r="AC181" s="154"/>
      <c r="AD181" s="154"/>
      <c r="AE181" s="154"/>
      <c r="AF181" s="154"/>
      <c r="AG181" s="154"/>
      <c r="AH181" s="154"/>
      <c r="AI181" s="154"/>
      <c r="AJ181" s="154"/>
      <c r="AK181" s="154"/>
      <c r="AL181" s="154"/>
    </row>
    <row r="182" customFormat="false" ht="15" hidden="false" customHeight="false" outlineLevel="0" collapsed="false">
      <c r="A182" s="152" t="s">
        <v>243</v>
      </c>
      <c r="B182" s="154"/>
      <c r="C182" s="154"/>
      <c r="D182" s="154"/>
      <c r="E182" s="154"/>
      <c r="F182" s="154"/>
      <c r="G182" s="154"/>
      <c r="H182" s="154"/>
      <c r="I182" s="154"/>
      <c r="J182" s="154"/>
      <c r="K182" s="154"/>
      <c r="L182" s="154"/>
      <c r="M182" s="154"/>
      <c r="N182" s="154"/>
      <c r="O182" s="154"/>
      <c r="P182" s="154"/>
      <c r="W182" s="152" t="s">
        <v>243</v>
      </c>
      <c r="X182" s="154"/>
      <c r="Y182" s="154"/>
      <c r="Z182" s="154"/>
      <c r="AA182" s="154"/>
      <c r="AB182" s="154"/>
      <c r="AC182" s="154"/>
      <c r="AD182" s="154"/>
      <c r="AE182" s="154"/>
      <c r="AF182" s="154"/>
      <c r="AG182" s="154"/>
      <c r="AH182" s="154"/>
      <c r="AI182" s="154"/>
      <c r="AJ182" s="154"/>
      <c r="AK182" s="154"/>
      <c r="AL182" s="154"/>
    </row>
    <row r="183" customFormat="false" ht="15" hidden="false" customHeight="false" outlineLevel="0" collapsed="false">
      <c r="A183" s="152" t="s">
        <v>195</v>
      </c>
      <c r="B183" s="154"/>
      <c r="C183" s="154"/>
      <c r="D183" s="154"/>
      <c r="E183" s="154"/>
      <c r="F183" s="154"/>
      <c r="G183" s="154"/>
      <c r="H183" s="154"/>
      <c r="I183" s="154"/>
      <c r="J183" s="154"/>
      <c r="K183" s="154"/>
      <c r="L183" s="154"/>
      <c r="M183" s="154"/>
      <c r="N183" s="154"/>
      <c r="O183" s="154"/>
      <c r="P183" s="154"/>
      <c r="W183" s="152" t="s">
        <v>195</v>
      </c>
      <c r="X183" s="154"/>
      <c r="Y183" s="154"/>
      <c r="Z183" s="154"/>
      <c r="AA183" s="154"/>
      <c r="AB183" s="154"/>
      <c r="AC183" s="154"/>
      <c r="AD183" s="154"/>
      <c r="AE183" s="154"/>
      <c r="AF183" s="154"/>
      <c r="AG183" s="154"/>
      <c r="AH183" s="154"/>
      <c r="AI183" s="154"/>
      <c r="AJ183" s="154"/>
      <c r="AK183" s="154"/>
      <c r="AL183" s="154"/>
    </row>
    <row r="184" customFormat="false" ht="15" hidden="false" customHeight="false" outlineLevel="0" collapsed="false">
      <c r="A184" s="152" t="s">
        <v>223</v>
      </c>
      <c r="B184" s="154"/>
      <c r="C184" s="154"/>
      <c r="D184" s="154"/>
      <c r="E184" s="154"/>
      <c r="F184" s="154"/>
      <c r="G184" s="154"/>
      <c r="H184" s="154"/>
      <c r="I184" s="154"/>
      <c r="J184" s="154"/>
      <c r="K184" s="154"/>
      <c r="L184" s="154"/>
      <c r="M184" s="154"/>
      <c r="N184" s="154"/>
      <c r="O184" s="154"/>
      <c r="P184" s="154"/>
      <c r="W184" s="152" t="s">
        <v>223</v>
      </c>
      <c r="X184" s="154"/>
      <c r="Y184" s="154"/>
      <c r="Z184" s="154"/>
      <c r="AA184" s="154"/>
      <c r="AB184" s="154"/>
      <c r="AC184" s="154"/>
      <c r="AD184" s="154"/>
      <c r="AE184" s="154"/>
      <c r="AF184" s="154"/>
      <c r="AG184" s="154"/>
      <c r="AH184" s="154"/>
      <c r="AI184" s="154"/>
      <c r="AJ184" s="154"/>
      <c r="AK184" s="154"/>
      <c r="AL184" s="154"/>
    </row>
    <row r="185" customFormat="false" ht="15" hidden="false" customHeight="false" outlineLevel="0" collapsed="false">
      <c r="A185" s="152" t="s">
        <v>250</v>
      </c>
      <c r="B185" s="154"/>
      <c r="C185" s="154"/>
      <c r="D185" s="153" t="n">
        <v>3.96</v>
      </c>
      <c r="E185" s="154"/>
      <c r="F185" s="154"/>
      <c r="G185" s="153" t="n">
        <v>3.96</v>
      </c>
      <c r="H185" s="154"/>
      <c r="I185" s="154"/>
      <c r="J185" s="154"/>
      <c r="K185" s="154"/>
      <c r="L185" s="154"/>
      <c r="M185" s="154"/>
      <c r="N185" s="154"/>
      <c r="O185" s="154"/>
      <c r="P185" s="153" t="n">
        <v>3.96</v>
      </c>
      <c r="W185" s="152" t="s">
        <v>250</v>
      </c>
      <c r="X185" s="154"/>
      <c r="Y185" s="154"/>
      <c r="Z185" s="154"/>
      <c r="AA185" s="154"/>
      <c r="AB185" s="154"/>
      <c r="AC185" s="154"/>
      <c r="AD185" s="154"/>
      <c r="AE185" s="154"/>
      <c r="AF185" s="154"/>
      <c r="AG185" s="154"/>
      <c r="AH185" s="154"/>
      <c r="AI185" s="154"/>
      <c r="AJ185" s="154"/>
      <c r="AK185" s="154"/>
      <c r="AL185" s="154"/>
    </row>
    <row r="191" customFormat="false" ht="15" hidden="false" customHeight="false" outlineLevel="0" collapsed="false">
      <c r="A191" s="148" t="s">
        <v>1106</v>
      </c>
      <c r="B191" s="148"/>
      <c r="C191" s="148"/>
      <c r="D191" s="148"/>
      <c r="E191" s="148"/>
      <c r="F191" s="148"/>
      <c r="G191" s="148"/>
      <c r="H191" s="148"/>
      <c r="I191" s="148"/>
      <c r="J191" s="148"/>
      <c r="K191" s="148"/>
      <c r="L191" s="148"/>
      <c r="M191" s="148"/>
      <c r="N191" s="148"/>
      <c r="O191" s="148"/>
      <c r="P191" s="148"/>
      <c r="R191" s="148" t="s">
        <v>1107</v>
      </c>
      <c r="S191" s="148"/>
      <c r="T191" s="148"/>
      <c r="W191" s="148" t="s">
        <v>1108</v>
      </c>
      <c r="X191" s="148"/>
      <c r="Y191" s="148"/>
      <c r="Z191" s="148"/>
      <c r="AA191" s="148"/>
      <c r="AB191" s="148"/>
      <c r="AC191" s="148"/>
      <c r="AD191" s="148"/>
      <c r="AE191" s="148"/>
      <c r="AF191" s="148"/>
      <c r="AG191" s="148"/>
      <c r="AH191" s="148"/>
      <c r="AI191" s="148"/>
      <c r="AJ191" s="148"/>
      <c r="AK191" s="148"/>
      <c r="AL191" s="148"/>
      <c r="AN191" s="148" t="s">
        <v>1109</v>
      </c>
      <c r="AO191" s="148"/>
      <c r="AP191" s="148"/>
    </row>
    <row r="192" customFormat="false" ht="15" hidden="false" customHeight="false" outlineLevel="0" collapsed="false">
      <c r="A192" s="123"/>
      <c r="B192" s="149" t="s">
        <v>112</v>
      </c>
      <c r="C192" s="149" t="s">
        <v>115</v>
      </c>
      <c r="D192" s="149" t="s">
        <v>119</v>
      </c>
      <c r="E192" s="149" t="s">
        <v>121</v>
      </c>
      <c r="F192" s="149" t="s">
        <v>123</v>
      </c>
      <c r="G192" s="149" t="s">
        <v>125</v>
      </c>
      <c r="H192" s="149" t="s">
        <v>168</v>
      </c>
      <c r="I192" s="149" t="s">
        <v>169</v>
      </c>
      <c r="J192" s="149" t="s">
        <v>170</v>
      </c>
      <c r="K192" s="149" t="s">
        <v>171</v>
      </c>
      <c r="L192" s="149" t="s">
        <v>172</v>
      </c>
      <c r="M192" s="149" t="s">
        <v>173</v>
      </c>
      <c r="N192" s="149" t="s">
        <v>174</v>
      </c>
      <c r="O192" s="149" t="s">
        <v>175</v>
      </c>
      <c r="P192" s="149" t="s">
        <v>176</v>
      </c>
      <c r="R192" s="151"/>
      <c r="S192" s="150" t="s">
        <v>112</v>
      </c>
      <c r="T192" s="150" t="s">
        <v>121</v>
      </c>
      <c r="W192" s="123"/>
      <c r="X192" s="149" t="s">
        <v>112</v>
      </c>
      <c r="Y192" s="149" t="s">
        <v>115</v>
      </c>
      <c r="Z192" s="149" t="s">
        <v>119</v>
      </c>
      <c r="AA192" s="149" t="s">
        <v>121</v>
      </c>
      <c r="AB192" s="149" t="s">
        <v>123</v>
      </c>
      <c r="AC192" s="149" t="s">
        <v>125</v>
      </c>
      <c r="AD192" s="149" t="s">
        <v>168</v>
      </c>
      <c r="AE192" s="149" t="s">
        <v>169</v>
      </c>
      <c r="AF192" s="149" t="s">
        <v>170</v>
      </c>
      <c r="AG192" s="149" t="s">
        <v>171</v>
      </c>
      <c r="AH192" s="149" t="s">
        <v>172</v>
      </c>
      <c r="AI192" s="149" t="s">
        <v>173</v>
      </c>
      <c r="AJ192" s="149" t="s">
        <v>174</v>
      </c>
      <c r="AK192" s="149" t="s">
        <v>175</v>
      </c>
      <c r="AL192" s="149" t="s">
        <v>176</v>
      </c>
      <c r="AN192" s="151"/>
      <c r="AO192" s="150" t="s">
        <v>112</v>
      </c>
      <c r="AP192" s="150" t="s">
        <v>121</v>
      </c>
    </row>
    <row r="193" customFormat="false" ht="15" hidden="false" customHeight="false" outlineLevel="0" collapsed="false">
      <c r="A193" s="152" t="s">
        <v>33</v>
      </c>
      <c r="B193" s="154"/>
      <c r="C193" s="154"/>
      <c r="D193" s="154"/>
      <c r="E193" s="154"/>
      <c r="F193" s="154"/>
      <c r="G193" s="154"/>
      <c r="H193" s="154"/>
      <c r="I193" s="154"/>
      <c r="J193" s="154"/>
      <c r="K193" s="154"/>
      <c r="L193" s="154"/>
      <c r="M193" s="154"/>
      <c r="N193" s="154"/>
      <c r="O193" s="154"/>
      <c r="P193" s="154"/>
      <c r="R193" s="155" t="s">
        <v>33</v>
      </c>
      <c r="S193" s="153" t="n">
        <v>-3.96</v>
      </c>
      <c r="T193" s="153" t="n">
        <v>-3.96</v>
      </c>
      <c r="W193" s="152" t="s">
        <v>33</v>
      </c>
      <c r="X193" s="154"/>
      <c r="Y193" s="154"/>
      <c r="Z193" s="154"/>
      <c r="AA193" s="154"/>
      <c r="AB193" s="154"/>
      <c r="AC193" s="154"/>
      <c r="AD193" s="154"/>
      <c r="AE193" s="154"/>
      <c r="AF193" s="154"/>
      <c r="AG193" s="154"/>
      <c r="AH193" s="154"/>
      <c r="AI193" s="154"/>
      <c r="AJ193" s="154"/>
      <c r="AK193" s="154"/>
      <c r="AL193" s="154"/>
      <c r="AN193" s="155" t="s">
        <v>33</v>
      </c>
      <c r="AO193" s="156" t="n">
        <v>2</v>
      </c>
      <c r="AP193" s="156" t="n">
        <v>2</v>
      </c>
    </row>
    <row r="194" customFormat="false" ht="15" hidden="false" customHeight="false" outlineLevel="0" collapsed="false">
      <c r="A194" s="152" t="s">
        <v>96</v>
      </c>
      <c r="B194" s="154"/>
      <c r="C194" s="154"/>
      <c r="D194" s="154"/>
      <c r="E194" s="154"/>
      <c r="F194" s="154"/>
      <c r="G194" s="154"/>
      <c r="H194" s="154"/>
      <c r="I194" s="154"/>
      <c r="J194" s="154"/>
      <c r="K194" s="154"/>
      <c r="L194" s="154"/>
      <c r="M194" s="154"/>
      <c r="N194" s="154"/>
      <c r="O194" s="154"/>
      <c r="P194" s="154"/>
      <c r="R194" s="155" t="s">
        <v>177</v>
      </c>
      <c r="S194" s="153" t="n">
        <v>-3.96</v>
      </c>
      <c r="T194" s="153" t="n">
        <v>-3.96</v>
      </c>
      <c r="W194" s="152" t="s">
        <v>96</v>
      </c>
      <c r="X194" s="154"/>
      <c r="Y194" s="154"/>
      <c r="Z194" s="154"/>
      <c r="AA194" s="154"/>
      <c r="AB194" s="154"/>
      <c r="AC194" s="154"/>
      <c r="AD194" s="154"/>
      <c r="AE194" s="154"/>
      <c r="AF194" s="154"/>
      <c r="AG194" s="154"/>
      <c r="AH194" s="154"/>
      <c r="AI194" s="154"/>
      <c r="AJ194" s="154"/>
      <c r="AK194" s="154"/>
      <c r="AL194" s="154"/>
      <c r="AN194" s="155" t="s">
        <v>177</v>
      </c>
      <c r="AO194" s="156" t="n">
        <v>2</v>
      </c>
      <c r="AP194" s="156" t="n">
        <v>2</v>
      </c>
    </row>
    <row r="195" customFormat="false" ht="15" hidden="false" customHeight="false" outlineLevel="0" collapsed="false">
      <c r="A195" s="152" t="s">
        <v>34</v>
      </c>
      <c r="B195" s="154"/>
      <c r="C195" s="154"/>
      <c r="D195" s="153" t="n">
        <v>-3.96</v>
      </c>
      <c r="E195" s="154"/>
      <c r="F195" s="154"/>
      <c r="G195" s="153" t="n">
        <v>-3.96</v>
      </c>
      <c r="H195" s="154"/>
      <c r="I195" s="154"/>
      <c r="J195" s="154"/>
      <c r="K195" s="154"/>
      <c r="L195" s="154"/>
      <c r="M195" s="154"/>
      <c r="N195" s="154"/>
      <c r="O195" s="154"/>
      <c r="P195" s="153" t="n">
        <v>-3.96</v>
      </c>
      <c r="W195" s="152" t="s">
        <v>34</v>
      </c>
      <c r="X195" s="154"/>
      <c r="Y195" s="154"/>
      <c r="Z195" s="156" t="n">
        <v>2</v>
      </c>
      <c r="AA195" s="154"/>
      <c r="AB195" s="154"/>
      <c r="AC195" s="156" t="n">
        <v>2</v>
      </c>
      <c r="AD195" s="154"/>
      <c r="AE195" s="154"/>
      <c r="AF195" s="154"/>
      <c r="AG195" s="154"/>
      <c r="AH195" s="154"/>
      <c r="AI195" s="154"/>
      <c r="AJ195" s="154"/>
      <c r="AK195" s="154"/>
      <c r="AL195" s="156" t="n">
        <v>2</v>
      </c>
    </row>
    <row r="196" customFormat="false" ht="15" hidden="false" customHeight="false" outlineLevel="0" collapsed="false">
      <c r="A196" s="152" t="s">
        <v>97</v>
      </c>
      <c r="B196" s="154"/>
      <c r="C196" s="154"/>
      <c r="D196" s="154"/>
      <c r="E196" s="154"/>
      <c r="F196" s="154"/>
      <c r="G196" s="154"/>
      <c r="H196" s="154"/>
      <c r="I196" s="154"/>
      <c r="J196" s="154"/>
      <c r="K196" s="154"/>
      <c r="L196" s="154"/>
      <c r="M196" s="154"/>
      <c r="N196" s="154"/>
      <c r="O196" s="154"/>
      <c r="P196" s="154"/>
      <c r="W196" s="152" t="s">
        <v>97</v>
      </c>
      <c r="X196" s="154"/>
      <c r="Y196" s="154"/>
      <c r="Z196" s="154"/>
      <c r="AA196" s="154"/>
      <c r="AB196" s="154"/>
      <c r="AC196" s="154"/>
      <c r="AD196" s="154"/>
      <c r="AE196" s="154"/>
      <c r="AF196" s="154"/>
      <c r="AG196" s="154"/>
      <c r="AH196" s="154"/>
      <c r="AI196" s="154"/>
      <c r="AJ196" s="154"/>
      <c r="AK196" s="154"/>
      <c r="AL196" s="154"/>
    </row>
    <row r="197" customFormat="false" ht="15" hidden="false" customHeight="false" outlineLevel="0" collapsed="false">
      <c r="A197" s="152" t="s">
        <v>98</v>
      </c>
      <c r="B197" s="154"/>
      <c r="C197" s="154"/>
      <c r="D197" s="154"/>
      <c r="E197" s="154"/>
      <c r="F197" s="154"/>
      <c r="G197" s="154"/>
      <c r="H197" s="154"/>
      <c r="I197" s="154"/>
      <c r="J197" s="154"/>
      <c r="K197" s="154"/>
      <c r="L197" s="154"/>
      <c r="M197" s="154"/>
      <c r="N197" s="154"/>
      <c r="O197" s="154"/>
      <c r="P197" s="154"/>
      <c r="W197" s="152" t="s">
        <v>98</v>
      </c>
      <c r="X197" s="154"/>
      <c r="Y197" s="154"/>
      <c r="Z197" s="154"/>
      <c r="AA197" s="154"/>
      <c r="AB197" s="154"/>
      <c r="AC197" s="154"/>
      <c r="AD197" s="154"/>
      <c r="AE197" s="154"/>
      <c r="AF197" s="154"/>
      <c r="AG197" s="154"/>
      <c r="AH197" s="154"/>
      <c r="AI197" s="154"/>
      <c r="AJ197" s="154"/>
      <c r="AK197" s="154"/>
      <c r="AL197" s="154"/>
    </row>
    <row r="198" customFormat="false" ht="15" hidden="false" customHeight="false" outlineLevel="0" collapsed="false">
      <c r="A198" s="152" t="s">
        <v>99</v>
      </c>
      <c r="B198" s="154"/>
      <c r="C198" s="154"/>
      <c r="D198" s="153" t="n">
        <v>-3.96</v>
      </c>
      <c r="E198" s="154"/>
      <c r="F198" s="154"/>
      <c r="G198" s="153" t="n">
        <v>-3.96</v>
      </c>
      <c r="H198" s="154"/>
      <c r="I198" s="154"/>
      <c r="J198" s="154"/>
      <c r="K198" s="154"/>
      <c r="L198" s="154"/>
      <c r="M198" s="154"/>
      <c r="N198" s="154"/>
      <c r="O198" s="154"/>
      <c r="P198" s="153" t="n">
        <v>-3.96</v>
      </c>
      <c r="W198" s="152" t="s">
        <v>99</v>
      </c>
      <c r="X198" s="154"/>
      <c r="Y198" s="154"/>
      <c r="Z198" s="156" t="n">
        <v>2</v>
      </c>
      <c r="AA198" s="154"/>
      <c r="AB198" s="154"/>
      <c r="AC198" s="156" t="n">
        <v>2</v>
      </c>
      <c r="AD198" s="154"/>
      <c r="AE198" s="154"/>
      <c r="AF198" s="154"/>
      <c r="AG198" s="154"/>
      <c r="AH198" s="154"/>
      <c r="AI198" s="154"/>
      <c r="AJ198" s="154"/>
      <c r="AK198" s="154"/>
      <c r="AL198" s="156" t="n">
        <v>2</v>
      </c>
    </row>
    <row r="199" customFormat="false" ht="15" hidden="false" customHeight="false" outlineLevel="0" collapsed="false">
      <c r="A199" s="152" t="s">
        <v>177</v>
      </c>
      <c r="B199" s="154"/>
      <c r="C199" s="154"/>
      <c r="D199" s="154"/>
      <c r="E199" s="154"/>
      <c r="F199" s="154"/>
      <c r="G199" s="154"/>
      <c r="H199" s="154"/>
      <c r="I199" s="154"/>
      <c r="J199" s="154"/>
      <c r="K199" s="154"/>
      <c r="L199" s="154"/>
      <c r="M199" s="154"/>
      <c r="N199" s="154"/>
      <c r="O199" s="154"/>
      <c r="P199" s="154"/>
      <c r="W199" s="152" t="s">
        <v>177</v>
      </c>
      <c r="X199" s="154"/>
      <c r="Y199" s="154"/>
      <c r="Z199" s="154"/>
      <c r="AA199" s="154"/>
      <c r="AB199" s="154"/>
      <c r="AC199" s="154"/>
      <c r="AD199" s="154"/>
      <c r="AE199" s="154"/>
      <c r="AF199" s="154"/>
      <c r="AG199" s="154"/>
      <c r="AH199" s="154"/>
      <c r="AI199" s="154"/>
      <c r="AJ199" s="154"/>
      <c r="AK199" s="154"/>
      <c r="AL199" s="154"/>
    </row>
    <row r="200" customFormat="false" ht="15" hidden="false" customHeight="false" outlineLevel="0" collapsed="false">
      <c r="A200" s="152" t="s">
        <v>205</v>
      </c>
      <c r="B200" s="154"/>
      <c r="C200" s="154"/>
      <c r="D200" s="154"/>
      <c r="E200" s="154"/>
      <c r="F200" s="154"/>
      <c r="G200" s="154"/>
      <c r="H200" s="154"/>
      <c r="I200" s="154"/>
      <c r="J200" s="154"/>
      <c r="K200" s="154"/>
      <c r="L200" s="154"/>
      <c r="M200" s="154"/>
      <c r="N200" s="154"/>
      <c r="O200" s="154"/>
      <c r="P200" s="154"/>
      <c r="W200" s="152" t="s">
        <v>205</v>
      </c>
      <c r="X200" s="154"/>
      <c r="Y200" s="154"/>
      <c r="Z200" s="154"/>
      <c r="AA200" s="154"/>
      <c r="AB200" s="154"/>
      <c r="AC200" s="154"/>
      <c r="AD200" s="154"/>
      <c r="AE200" s="154"/>
      <c r="AF200" s="154"/>
      <c r="AG200" s="154"/>
      <c r="AH200" s="154"/>
      <c r="AI200" s="154"/>
      <c r="AJ200" s="154"/>
      <c r="AK200" s="154"/>
      <c r="AL200" s="154"/>
    </row>
    <row r="201" customFormat="false" ht="15" hidden="false" customHeight="false" outlineLevel="0" collapsed="false">
      <c r="A201" s="152" t="s">
        <v>233</v>
      </c>
      <c r="B201" s="154"/>
      <c r="C201" s="154"/>
      <c r="D201" s="154"/>
      <c r="E201" s="154"/>
      <c r="F201" s="154"/>
      <c r="G201" s="154"/>
      <c r="H201" s="154"/>
      <c r="I201" s="154"/>
      <c r="J201" s="154"/>
      <c r="K201" s="154"/>
      <c r="L201" s="154"/>
      <c r="M201" s="154"/>
      <c r="N201" s="154"/>
      <c r="O201" s="154"/>
      <c r="P201" s="154"/>
      <c r="W201" s="152" t="s">
        <v>233</v>
      </c>
      <c r="X201" s="154"/>
      <c r="Y201" s="154"/>
      <c r="Z201" s="154"/>
      <c r="AA201" s="154"/>
      <c r="AB201" s="154"/>
      <c r="AC201" s="154"/>
      <c r="AD201" s="154"/>
      <c r="AE201" s="154"/>
      <c r="AF201" s="154"/>
      <c r="AG201" s="154"/>
      <c r="AH201" s="154"/>
      <c r="AI201" s="154"/>
      <c r="AJ201" s="154"/>
      <c r="AK201" s="154"/>
      <c r="AL201" s="154"/>
    </row>
    <row r="202" customFormat="false" ht="15" hidden="false" customHeight="false" outlineLevel="0" collapsed="false">
      <c r="A202" s="152" t="s">
        <v>186</v>
      </c>
      <c r="B202" s="154"/>
      <c r="C202" s="154"/>
      <c r="D202" s="154"/>
      <c r="E202" s="154"/>
      <c r="F202" s="154"/>
      <c r="G202" s="154"/>
      <c r="H202" s="154"/>
      <c r="I202" s="154"/>
      <c r="J202" s="154"/>
      <c r="K202" s="154"/>
      <c r="L202" s="154"/>
      <c r="M202" s="154"/>
      <c r="N202" s="154"/>
      <c r="O202" s="154"/>
      <c r="P202" s="154"/>
      <c r="W202" s="152" t="s">
        <v>186</v>
      </c>
      <c r="X202" s="154"/>
      <c r="Y202" s="154"/>
      <c r="Z202" s="154"/>
      <c r="AA202" s="154"/>
      <c r="AB202" s="154"/>
      <c r="AC202" s="154"/>
      <c r="AD202" s="154"/>
      <c r="AE202" s="154"/>
      <c r="AF202" s="154"/>
      <c r="AG202" s="154"/>
      <c r="AH202" s="154"/>
      <c r="AI202" s="154"/>
      <c r="AJ202" s="154"/>
      <c r="AK202" s="154"/>
      <c r="AL202" s="154"/>
    </row>
    <row r="203" customFormat="false" ht="15" hidden="false" customHeight="false" outlineLevel="0" collapsed="false">
      <c r="A203" s="152" t="s">
        <v>215</v>
      </c>
      <c r="B203" s="154"/>
      <c r="C203" s="154"/>
      <c r="D203" s="154"/>
      <c r="E203" s="154"/>
      <c r="F203" s="154"/>
      <c r="G203" s="154"/>
      <c r="H203" s="154"/>
      <c r="I203" s="154"/>
      <c r="J203" s="154"/>
      <c r="K203" s="154"/>
      <c r="L203" s="154"/>
      <c r="M203" s="154"/>
      <c r="N203" s="154"/>
      <c r="O203" s="154"/>
      <c r="P203" s="154"/>
      <c r="W203" s="152" t="s">
        <v>215</v>
      </c>
      <c r="X203" s="154"/>
      <c r="Y203" s="154"/>
      <c r="Z203" s="154"/>
      <c r="AA203" s="154"/>
      <c r="AB203" s="154"/>
      <c r="AC203" s="154"/>
      <c r="AD203" s="154"/>
      <c r="AE203" s="154"/>
      <c r="AF203" s="154"/>
      <c r="AG203" s="154"/>
      <c r="AH203" s="154"/>
      <c r="AI203" s="154"/>
      <c r="AJ203" s="154"/>
      <c r="AK203" s="154"/>
      <c r="AL203" s="154"/>
    </row>
    <row r="204" customFormat="false" ht="15" hidden="false" customHeight="false" outlineLevel="0" collapsed="false">
      <c r="A204" s="152" t="s">
        <v>243</v>
      </c>
      <c r="B204" s="154"/>
      <c r="C204" s="154"/>
      <c r="D204" s="154"/>
      <c r="E204" s="154"/>
      <c r="F204" s="154"/>
      <c r="G204" s="154"/>
      <c r="H204" s="154"/>
      <c r="I204" s="154"/>
      <c r="J204" s="154"/>
      <c r="K204" s="154"/>
      <c r="L204" s="154"/>
      <c r="M204" s="154"/>
      <c r="N204" s="154"/>
      <c r="O204" s="154"/>
      <c r="P204" s="154"/>
      <c r="W204" s="152" t="s">
        <v>243</v>
      </c>
      <c r="X204" s="154"/>
      <c r="Y204" s="154"/>
      <c r="Z204" s="154"/>
      <c r="AA204" s="154"/>
      <c r="AB204" s="154"/>
      <c r="AC204" s="154"/>
      <c r="AD204" s="154"/>
      <c r="AE204" s="154"/>
      <c r="AF204" s="154"/>
      <c r="AG204" s="154"/>
      <c r="AH204" s="154"/>
      <c r="AI204" s="154"/>
      <c r="AJ204" s="154"/>
      <c r="AK204" s="154"/>
      <c r="AL204" s="154"/>
    </row>
    <row r="205" customFormat="false" ht="15" hidden="false" customHeight="false" outlineLevel="0" collapsed="false">
      <c r="A205" s="152" t="s">
        <v>195</v>
      </c>
      <c r="B205" s="154"/>
      <c r="C205" s="154"/>
      <c r="D205" s="154"/>
      <c r="E205" s="154"/>
      <c r="F205" s="154"/>
      <c r="G205" s="154"/>
      <c r="H205" s="154"/>
      <c r="I205" s="154"/>
      <c r="J205" s="154"/>
      <c r="K205" s="154"/>
      <c r="L205" s="154"/>
      <c r="M205" s="154"/>
      <c r="N205" s="154"/>
      <c r="O205" s="154"/>
      <c r="P205" s="154"/>
      <c r="W205" s="152" t="s">
        <v>195</v>
      </c>
      <c r="X205" s="154"/>
      <c r="Y205" s="154"/>
      <c r="Z205" s="154"/>
      <c r="AA205" s="154"/>
      <c r="AB205" s="154"/>
      <c r="AC205" s="154"/>
      <c r="AD205" s="154"/>
      <c r="AE205" s="154"/>
      <c r="AF205" s="154"/>
      <c r="AG205" s="154"/>
      <c r="AH205" s="154"/>
      <c r="AI205" s="154"/>
      <c r="AJ205" s="154"/>
      <c r="AK205" s="154"/>
      <c r="AL205" s="154"/>
    </row>
    <row r="206" customFormat="false" ht="15" hidden="false" customHeight="false" outlineLevel="0" collapsed="false">
      <c r="A206" s="152" t="s">
        <v>223</v>
      </c>
      <c r="B206" s="154"/>
      <c r="C206" s="154"/>
      <c r="D206" s="154"/>
      <c r="E206" s="154"/>
      <c r="F206" s="154"/>
      <c r="G206" s="154"/>
      <c r="H206" s="154"/>
      <c r="I206" s="154"/>
      <c r="J206" s="154"/>
      <c r="K206" s="154"/>
      <c r="L206" s="154"/>
      <c r="M206" s="154"/>
      <c r="N206" s="154"/>
      <c r="O206" s="154"/>
      <c r="P206" s="154"/>
      <c r="W206" s="152" t="s">
        <v>223</v>
      </c>
      <c r="X206" s="154"/>
      <c r="Y206" s="154"/>
      <c r="Z206" s="154"/>
      <c r="AA206" s="154"/>
      <c r="AB206" s="154"/>
      <c r="AC206" s="154"/>
      <c r="AD206" s="154"/>
      <c r="AE206" s="154"/>
      <c r="AF206" s="154"/>
      <c r="AG206" s="154"/>
      <c r="AH206" s="154"/>
      <c r="AI206" s="154"/>
      <c r="AJ206" s="154"/>
      <c r="AK206" s="154"/>
      <c r="AL206" s="154"/>
    </row>
    <row r="207" customFormat="false" ht="15" hidden="false" customHeight="false" outlineLevel="0" collapsed="false">
      <c r="A207" s="152" t="s">
        <v>250</v>
      </c>
      <c r="B207" s="154"/>
      <c r="C207" s="154"/>
      <c r="D207" s="153" t="n">
        <v>-3.96</v>
      </c>
      <c r="E207" s="154"/>
      <c r="F207" s="154"/>
      <c r="G207" s="153" t="n">
        <v>-3.96</v>
      </c>
      <c r="H207" s="154"/>
      <c r="I207" s="154"/>
      <c r="J207" s="154"/>
      <c r="K207" s="154"/>
      <c r="L207" s="154"/>
      <c r="M207" s="154"/>
      <c r="N207" s="154"/>
      <c r="O207" s="154"/>
      <c r="P207" s="153" t="n">
        <v>-3.96</v>
      </c>
      <c r="W207" s="152" t="s">
        <v>250</v>
      </c>
      <c r="X207" s="154"/>
      <c r="Y207" s="154"/>
      <c r="Z207" s="156" t="n">
        <v>2</v>
      </c>
      <c r="AA207" s="154"/>
      <c r="AB207" s="154"/>
      <c r="AC207" s="156" t="n">
        <v>2</v>
      </c>
      <c r="AD207" s="154"/>
      <c r="AE207" s="154"/>
      <c r="AF207" s="154"/>
      <c r="AG207" s="154"/>
      <c r="AH207" s="154"/>
      <c r="AI207" s="154"/>
      <c r="AJ207" s="154"/>
      <c r="AK207" s="154"/>
      <c r="AL207" s="156" t="n">
        <v>2</v>
      </c>
    </row>
    <row r="211" customFormat="false" ht="15" hidden="false" customHeight="false" outlineLevel="0" collapsed="false">
      <c r="A211" s="148" t="s">
        <v>1110</v>
      </c>
      <c r="B211" s="148"/>
      <c r="C211" s="148"/>
      <c r="D211" s="148"/>
      <c r="E211" s="148"/>
      <c r="F211" s="148"/>
      <c r="G211" s="148"/>
      <c r="H211" s="148"/>
      <c r="I211" s="148"/>
      <c r="J211" s="148"/>
      <c r="K211" s="148"/>
      <c r="L211" s="148"/>
      <c r="M211" s="148"/>
      <c r="N211" s="148"/>
      <c r="O211" s="148"/>
      <c r="P211" s="148"/>
      <c r="R211" s="148" t="s">
        <v>1111</v>
      </c>
      <c r="S211" s="148"/>
      <c r="T211" s="148"/>
      <c r="W211" s="148" t="s">
        <v>1112</v>
      </c>
      <c r="X211" s="148"/>
      <c r="Y211" s="148"/>
      <c r="Z211" s="148"/>
      <c r="AA211" s="148"/>
      <c r="AB211" s="148"/>
      <c r="AC211" s="148"/>
      <c r="AD211" s="148"/>
      <c r="AE211" s="148"/>
      <c r="AF211" s="148"/>
      <c r="AG211" s="148"/>
      <c r="AH211" s="148"/>
      <c r="AI211" s="148"/>
      <c r="AJ211" s="148"/>
      <c r="AK211" s="148"/>
      <c r="AL211" s="148"/>
      <c r="AN211" s="148" t="s">
        <v>1111</v>
      </c>
      <c r="AO211" s="148"/>
      <c r="AP211" s="148"/>
    </row>
    <row r="212" customFormat="false" ht="15" hidden="false" customHeight="false" outlineLevel="0" collapsed="false">
      <c r="A212" s="123"/>
      <c r="B212" s="149" t="s">
        <v>112</v>
      </c>
      <c r="C212" s="149" t="s">
        <v>115</v>
      </c>
      <c r="D212" s="149" t="s">
        <v>119</v>
      </c>
      <c r="E212" s="149" t="s">
        <v>121</v>
      </c>
      <c r="F212" s="149" t="s">
        <v>123</v>
      </c>
      <c r="G212" s="149" t="s">
        <v>125</v>
      </c>
      <c r="H212" s="149" t="s">
        <v>168</v>
      </c>
      <c r="I212" s="149" t="s">
        <v>169</v>
      </c>
      <c r="J212" s="149" t="s">
        <v>170</v>
      </c>
      <c r="K212" s="149" t="s">
        <v>171</v>
      </c>
      <c r="L212" s="149" t="s">
        <v>172</v>
      </c>
      <c r="M212" s="149" t="s">
        <v>173</v>
      </c>
      <c r="N212" s="149" t="s">
        <v>174</v>
      </c>
      <c r="O212" s="149" t="s">
        <v>175</v>
      </c>
      <c r="P212" s="149" t="s">
        <v>176</v>
      </c>
      <c r="R212" s="151"/>
      <c r="S212" s="150" t="s">
        <v>112</v>
      </c>
      <c r="T212" s="150" t="s">
        <v>121</v>
      </c>
      <c r="W212" s="123"/>
      <c r="X212" s="149" t="s">
        <v>112</v>
      </c>
      <c r="Y212" s="149" t="s">
        <v>115</v>
      </c>
      <c r="Z212" s="149" t="s">
        <v>119</v>
      </c>
      <c r="AA212" s="149" t="s">
        <v>121</v>
      </c>
      <c r="AB212" s="149" t="s">
        <v>123</v>
      </c>
      <c r="AC212" s="149" t="s">
        <v>125</v>
      </c>
      <c r="AD212" s="149" t="s">
        <v>168</v>
      </c>
      <c r="AE212" s="149" t="s">
        <v>169</v>
      </c>
      <c r="AF212" s="149" t="s">
        <v>170</v>
      </c>
      <c r="AG212" s="149" t="s">
        <v>171</v>
      </c>
      <c r="AH212" s="149" t="s">
        <v>172</v>
      </c>
      <c r="AI212" s="149" t="s">
        <v>173</v>
      </c>
      <c r="AJ212" s="149" t="s">
        <v>174</v>
      </c>
      <c r="AK212" s="149" t="s">
        <v>175</v>
      </c>
      <c r="AL212" s="149" t="s">
        <v>176</v>
      </c>
      <c r="AN212" s="151"/>
      <c r="AO212" s="150" t="s">
        <v>112</v>
      </c>
      <c r="AP212" s="150" t="s">
        <v>121</v>
      </c>
    </row>
    <row r="213" customFormat="false" ht="15" hidden="false" customHeight="false" outlineLevel="0" collapsed="false">
      <c r="A213" s="152" t="s">
        <v>33</v>
      </c>
      <c r="B213" s="154"/>
      <c r="C213" s="154"/>
      <c r="D213" s="154"/>
      <c r="E213" s="154"/>
      <c r="F213" s="154"/>
      <c r="G213" s="154"/>
      <c r="H213" s="154"/>
      <c r="I213" s="154"/>
      <c r="J213" s="154"/>
      <c r="K213" s="154"/>
      <c r="L213" s="154"/>
      <c r="M213" s="154"/>
      <c r="N213" s="154"/>
      <c r="O213" s="154"/>
      <c r="P213" s="154"/>
      <c r="R213" s="155" t="s">
        <v>33</v>
      </c>
      <c r="S213" s="153" t="n">
        <v>3.96</v>
      </c>
      <c r="T213" s="153" t="n">
        <v>3.96</v>
      </c>
      <c r="W213" s="152" t="s">
        <v>33</v>
      </c>
      <c r="X213" s="154"/>
      <c r="Y213" s="154"/>
      <c r="Z213" s="154"/>
      <c r="AA213" s="154"/>
      <c r="AB213" s="154"/>
      <c r="AC213" s="154"/>
      <c r="AD213" s="154"/>
      <c r="AE213" s="154"/>
      <c r="AF213" s="154"/>
      <c r="AG213" s="154"/>
      <c r="AH213" s="154"/>
      <c r="AI213" s="154"/>
      <c r="AJ213" s="154"/>
      <c r="AK213" s="154"/>
      <c r="AL213" s="154"/>
      <c r="AN213" s="155" t="s">
        <v>33</v>
      </c>
      <c r="AO213" s="153" t="n">
        <v>0</v>
      </c>
      <c r="AP213" s="153" t="n">
        <v>0</v>
      </c>
    </row>
    <row r="214" customFormat="false" ht="15" hidden="false" customHeight="false" outlineLevel="0" collapsed="false">
      <c r="A214" s="152" t="s">
        <v>96</v>
      </c>
      <c r="B214" s="154"/>
      <c r="C214" s="154"/>
      <c r="D214" s="154"/>
      <c r="E214" s="154"/>
      <c r="F214" s="154"/>
      <c r="G214" s="154"/>
      <c r="H214" s="154"/>
      <c r="I214" s="154"/>
      <c r="J214" s="154"/>
      <c r="K214" s="154"/>
      <c r="L214" s="154"/>
      <c r="M214" s="154"/>
      <c r="N214" s="154"/>
      <c r="O214" s="154"/>
      <c r="P214" s="154"/>
      <c r="R214" s="155" t="s">
        <v>177</v>
      </c>
      <c r="S214" s="153" t="n">
        <v>3.96</v>
      </c>
      <c r="T214" s="153" t="n">
        <v>3.96</v>
      </c>
      <c r="W214" s="152" t="s">
        <v>96</v>
      </c>
      <c r="X214" s="154"/>
      <c r="Y214" s="154"/>
      <c r="Z214" s="154"/>
      <c r="AA214" s="154"/>
      <c r="AB214" s="154"/>
      <c r="AC214" s="154"/>
      <c r="AD214" s="154"/>
      <c r="AE214" s="154"/>
      <c r="AF214" s="154"/>
      <c r="AG214" s="154"/>
      <c r="AH214" s="154"/>
      <c r="AI214" s="154"/>
      <c r="AJ214" s="154"/>
      <c r="AK214" s="154"/>
      <c r="AL214" s="154"/>
      <c r="AN214" s="155" t="s">
        <v>177</v>
      </c>
      <c r="AO214" s="153" t="n">
        <v>0</v>
      </c>
      <c r="AP214" s="153" t="n">
        <v>0</v>
      </c>
    </row>
    <row r="215" customFormat="false" ht="15" hidden="false" customHeight="false" outlineLevel="0" collapsed="false">
      <c r="A215" s="152" t="s">
        <v>34</v>
      </c>
      <c r="B215" s="154"/>
      <c r="C215" s="154"/>
      <c r="D215" s="153" t="n">
        <v>3.96</v>
      </c>
      <c r="E215" s="154"/>
      <c r="F215" s="154"/>
      <c r="G215" s="153" t="n">
        <v>3.96</v>
      </c>
      <c r="H215" s="154"/>
      <c r="I215" s="154"/>
      <c r="J215" s="154"/>
      <c r="K215" s="154"/>
      <c r="L215" s="154"/>
      <c r="M215" s="154"/>
      <c r="N215" s="154"/>
      <c r="O215" s="154"/>
      <c r="P215" s="153" t="n">
        <v>3.96</v>
      </c>
      <c r="W215" s="152" t="s">
        <v>34</v>
      </c>
      <c r="X215" s="154"/>
      <c r="Y215" s="154"/>
      <c r="Z215" s="154"/>
      <c r="AA215" s="154"/>
      <c r="AB215" s="154"/>
      <c r="AC215" s="154"/>
      <c r="AD215" s="154"/>
      <c r="AE215" s="154"/>
      <c r="AF215" s="154"/>
      <c r="AG215" s="154"/>
      <c r="AH215" s="154"/>
      <c r="AI215" s="154"/>
      <c r="AJ215" s="154"/>
      <c r="AK215" s="154"/>
      <c r="AL215" s="154"/>
    </row>
    <row r="216" customFormat="false" ht="15" hidden="false" customHeight="false" outlineLevel="0" collapsed="false">
      <c r="A216" s="152" t="s">
        <v>97</v>
      </c>
      <c r="B216" s="154"/>
      <c r="C216" s="154"/>
      <c r="D216" s="154"/>
      <c r="E216" s="154"/>
      <c r="F216" s="154"/>
      <c r="G216" s="154"/>
      <c r="H216" s="154"/>
      <c r="I216" s="154"/>
      <c r="J216" s="154"/>
      <c r="K216" s="154"/>
      <c r="L216" s="154"/>
      <c r="M216" s="154"/>
      <c r="N216" s="154"/>
      <c r="O216" s="154"/>
      <c r="P216" s="154"/>
      <c r="W216" s="152" t="s">
        <v>97</v>
      </c>
      <c r="X216" s="154"/>
      <c r="Y216" s="154"/>
      <c r="Z216" s="154"/>
      <c r="AA216" s="154"/>
      <c r="AB216" s="154"/>
      <c r="AC216" s="154"/>
      <c r="AD216" s="154"/>
      <c r="AE216" s="154"/>
      <c r="AF216" s="154"/>
      <c r="AG216" s="154"/>
      <c r="AH216" s="154"/>
      <c r="AI216" s="154"/>
      <c r="AJ216" s="154"/>
      <c r="AK216" s="154"/>
      <c r="AL216" s="154"/>
    </row>
    <row r="217" customFormat="false" ht="15" hidden="false" customHeight="false" outlineLevel="0" collapsed="false">
      <c r="A217" s="152" t="s">
        <v>98</v>
      </c>
      <c r="B217" s="154"/>
      <c r="C217" s="154"/>
      <c r="D217" s="154"/>
      <c r="E217" s="154"/>
      <c r="F217" s="154"/>
      <c r="G217" s="154"/>
      <c r="H217" s="154"/>
      <c r="I217" s="154"/>
      <c r="J217" s="154"/>
      <c r="K217" s="154"/>
      <c r="L217" s="154"/>
      <c r="M217" s="154"/>
      <c r="N217" s="154"/>
      <c r="O217" s="154"/>
      <c r="P217" s="154"/>
      <c r="W217" s="152" t="s">
        <v>98</v>
      </c>
      <c r="X217" s="154"/>
      <c r="Y217" s="154"/>
      <c r="Z217" s="154"/>
      <c r="AA217" s="154"/>
      <c r="AB217" s="154"/>
      <c r="AC217" s="154"/>
      <c r="AD217" s="154"/>
      <c r="AE217" s="154"/>
      <c r="AF217" s="154"/>
      <c r="AG217" s="154"/>
      <c r="AH217" s="154"/>
      <c r="AI217" s="154"/>
      <c r="AJ217" s="154"/>
      <c r="AK217" s="154"/>
      <c r="AL217" s="154"/>
    </row>
    <row r="218" customFormat="false" ht="15" hidden="false" customHeight="false" outlineLevel="0" collapsed="false">
      <c r="A218" s="152" t="s">
        <v>99</v>
      </c>
      <c r="B218" s="154"/>
      <c r="C218" s="154"/>
      <c r="D218" s="153" t="n">
        <v>3.96</v>
      </c>
      <c r="E218" s="154"/>
      <c r="F218" s="154"/>
      <c r="G218" s="153" t="n">
        <v>3.96</v>
      </c>
      <c r="H218" s="154"/>
      <c r="I218" s="154"/>
      <c r="J218" s="154"/>
      <c r="K218" s="154"/>
      <c r="L218" s="154"/>
      <c r="M218" s="154"/>
      <c r="N218" s="154"/>
      <c r="O218" s="154"/>
      <c r="P218" s="153" t="n">
        <v>3.96</v>
      </c>
      <c r="W218" s="152" t="s">
        <v>99</v>
      </c>
      <c r="X218" s="154"/>
      <c r="Y218" s="154"/>
      <c r="Z218" s="154"/>
      <c r="AA218" s="154"/>
      <c r="AB218" s="154"/>
      <c r="AC218" s="154"/>
      <c r="AD218" s="154"/>
      <c r="AE218" s="154"/>
      <c r="AF218" s="154"/>
      <c r="AG218" s="154"/>
      <c r="AH218" s="154"/>
      <c r="AI218" s="154"/>
      <c r="AJ218" s="154"/>
      <c r="AK218" s="154"/>
      <c r="AL218" s="154"/>
    </row>
    <row r="219" customFormat="false" ht="15" hidden="false" customHeight="false" outlineLevel="0" collapsed="false">
      <c r="A219" s="152" t="s">
        <v>177</v>
      </c>
      <c r="B219" s="154"/>
      <c r="C219" s="154"/>
      <c r="D219" s="154"/>
      <c r="E219" s="154"/>
      <c r="F219" s="154"/>
      <c r="G219" s="154"/>
      <c r="H219" s="154"/>
      <c r="I219" s="154"/>
      <c r="J219" s="154"/>
      <c r="K219" s="154"/>
      <c r="L219" s="154"/>
      <c r="M219" s="154"/>
      <c r="N219" s="154"/>
      <c r="O219" s="154"/>
      <c r="P219" s="154"/>
      <c r="W219" s="152" t="s">
        <v>177</v>
      </c>
      <c r="X219" s="154"/>
      <c r="Y219" s="154"/>
      <c r="Z219" s="154"/>
      <c r="AA219" s="154"/>
      <c r="AB219" s="154"/>
      <c r="AC219" s="154"/>
      <c r="AD219" s="154"/>
      <c r="AE219" s="154"/>
      <c r="AF219" s="154"/>
      <c r="AG219" s="154"/>
      <c r="AH219" s="154"/>
      <c r="AI219" s="154"/>
      <c r="AJ219" s="154"/>
      <c r="AK219" s="154"/>
      <c r="AL219" s="154"/>
    </row>
    <row r="220" customFormat="false" ht="15" hidden="false" customHeight="false" outlineLevel="0" collapsed="false">
      <c r="A220" s="152" t="s">
        <v>205</v>
      </c>
      <c r="B220" s="154"/>
      <c r="C220" s="154"/>
      <c r="D220" s="154"/>
      <c r="E220" s="154"/>
      <c r="F220" s="154"/>
      <c r="G220" s="154"/>
      <c r="H220" s="154"/>
      <c r="I220" s="154"/>
      <c r="J220" s="154"/>
      <c r="K220" s="154"/>
      <c r="L220" s="154"/>
      <c r="M220" s="154"/>
      <c r="N220" s="154"/>
      <c r="O220" s="154"/>
      <c r="P220" s="154"/>
      <c r="W220" s="152" t="s">
        <v>205</v>
      </c>
      <c r="X220" s="154"/>
      <c r="Y220" s="154"/>
      <c r="Z220" s="154"/>
      <c r="AA220" s="154"/>
      <c r="AB220" s="154"/>
      <c r="AC220" s="154"/>
      <c r="AD220" s="154"/>
      <c r="AE220" s="154"/>
      <c r="AF220" s="154"/>
      <c r="AG220" s="154"/>
      <c r="AH220" s="154"/>
      <c r="AI220" s="154"/>
      <c r="AJ220" s="154"/>
      <c r="AK220" s="154"/>
      <c r="AL220" s="154"/>
    </row>
    <row r="221" customFormat="false" ht="15" hidden="false" customHeight="false" outlineLevel="0" collapsed="false">
      <c r="A221" s="152" t="s">
        <v>233</v>
      </c>
      <c r="B221" s="154"/>
      <c r="C221" s="154"/>
      <c r="D221" s="154"/>
      <c r="E221" s="154"/>
      <c r="F221" s="154"/>
      <c r="G221" s="154"/>
      <c r="H221" s="154"/>
      <c r="I221" s="154"/>
      <c r="J221" s="154"/>
      <c r="K221" s="154"/>
      <c r="L221" s="154"/>
      <c r="M221" s="154"/>
      <c r="N221" s="154"/>
      <c r="O221" s="154"/>
      <c r="P221" s="154"/>
      <c r="W221" s="152" t="s">
        <v>233</v>
      </c>
      <c r="X221" s="154"/>
      <c r="Y221" s="154"/>
      <c r="Z221" s="154"/>
      <c r="AA221" s="154"/>
      <c r="AB221" s="154"/>
      <c r="AC221" s="154"/>
      <c r="AD221" s="154"/>
      <c r="AE221" s="154"/>
      <c r="AF221" s="154"/>
      <c r="AG221" s="154"/>
      <c r="AH221" s="154"/>
      <c r="AI221" s="154"/>
      <c r="AJ221" s="154"/>
      <c r="AK221" s="154"/>
      <c r="AL221" s="154"/>
    </row>
    <row r="222" customFormat="false" ht="15" hidden="false" customHeight="false" outlineLevel="0" collapsed="false">
      <c r="A222" s="152" t="s">
        <v>186</v>
      </c>
      <c r="B222" s="154"/>
      <c r="C222" s="154"/>
      <c r="D222" s="154"/>
      <c r="E222" s="154"/>
      <c r="F222" s="154"/>
      <c r="G222" s="154"/>
      <c r="H222" s="154"/>
      <c r="I222" s="154"/>
      <c r="J222" s="154"/>
      <c r="K222" s="154"/>
      <c r="L222" s="154"/>
      <c r="M222" s="154"/>
      <c r="N222" s="154"/>
      <c r="O222" s="154"/>
      <c r="P222" s="154"/>
      <c r="W222" s="152" t="s">
        <v>186</v>
      </c>
      <c r="X222" s="154"/>
      <c r="Y222" s="154"/>
      <c r="Z222" s="154"/>
      <c r="AA222" s="154"/>
      <c r="AB222" s="154"/>
      <c r="AC222" s="154"/>
      <c r="AD222" s="154"/>
      <c r="AE222" s="154"/>
      <c r="AF222" s="154"/>
      <c r="AG222" s="154"/>
      <c r="AH222" s="154"/>
      <c r="AI222" s="154"/>
      <c r="AJ222" s="154"/>
      <c r="AK222" s="154"/>
      <c r="AL222" s="154"/>
    </row>
    <row r="223" customFormat="false" ht="15" hidden="false" customHeight="false" outlineLevel="0" collapsed="false">
      <c r="A223" s="152" t="s">
        <v>215</v>
      </c>
      <c r="B223" s="154"/>
      <c r="C223" s="154"/>
      <c r="D223" s="154"/>
      <c r="E223" s="154"/>
      <c r="F223" s="154"/>
      <c r="G223" s="154"/>
      <c r="H223" s="154"/>
      <c r="I223" s="154"/>
      <c r="J223" s="154"/>
      <c r="K223" s="154"/>
      <c r="L223" s="154"/>
      <c r="M223" s="154"/>
      <c r="N223" s="154"/>
      <c r="O223" s="154"/>
      <c r="P223" s="154"/>
      <c r="W223" s="152" t="s">
        <v>215</v>
      </c>
      <c r="X223" s="154"/>
      <c r="Y223" s="154"/>
      <c r="Z223" s="154"/>
      <c r="AA223" s="154"/>
      <c r="AB223" s="154"/>
      <c r="AC223" s="154"/>
      <c r="AD223" s="154"/>
      <c r="AE223" s="154"/>
      <c r="AF223" s="154"/>
      <c r="AG223" s="154"/>
      <c r="AH223" s="154"/>
      <c r="AI223" s="154"/>
      <c r="AJ223" s="154"/>
      <c r="AK223" s="154"/>
      <c r="AL223" s="154"/>
    </row>
    <row r="224" customFormat="false" ht="15" hidden="false" customHeight="false" outlineLevel="0" collapsed="false">
      <c r="A224" s="152" t="s">
        <v>243</v>
      </c>
      <c r="B224" s="154"/>
      <c r="C224" s="154"/>
      <c r="D224" s="154"/>
      <c r="E224" s="154"/>
      <c r="F224" s="154"/>
      <c r="G224" s="154"/>
      <c r="H224" s="154"/>
      <c r="I224" s="154"/>
      <c r="J224" s="154"/>
      <c r="K224" s="154"/>
      <c r="L224" s="154"/>
      <c r="M224" s="154"/>
      <c r="N224" s="154"/>
      <c r="O224" s="154"/>
      <c r="P224" s="154"/>
      <c r="W224" s="152" t="s">
        <v>243</v>
      </c>
      <c r="X224" s="154"/>
      <c r="Y224" s="154"/>
      <c r="Z224" s="154"/>
      <c r="AA224" s="154"/>
      <c r="AB224" s="154"/>
      <c r="AC224" s="154"/>
      <c r="AD224" s="154"/>
      <c r="AE224" s="154"/>
      <c r="AF224" s="154"/>
      <c r="AG224" s="154"/>
      <c r="AH224" s="154"/>
      <c r="AI224" s="154"/>
      <c r="AJ224" s="154"/>
      <c r="AK224" s="154"/>
      <c r="AL224" s="154"/>
    </row>
    <row r="225" customFormat="false" ht="15" hidden="false" customHeight="false" outlineLevel="0" collapsed="false">
      <c r="A225" s="152" t="s">
        <v>195</v>
      </c>
      <c r="B225" s="154"/>
      <c r="C225" s="154"/>
      <c r="D225" s="154"/>
      <c r="E225" s="154"/>
      <c r="F225" s="154"/>
      <c r="G225" s="154"/>
      <c r="H225" s="154"/>
      <c r="I225" s="154"/>
      <c r="J225" s="154"/>
      <c r="K225" s="154"/>
      <c r="L225" s="154"/>
      <c r="M225" s="154"/>
      <c r="N225" s="154"/>
      <c r="O225" s="154"/>
      <c r="P225" s="154"/>
      <c r="W225" s="152" t="s">
        <v>195</v>
      </c>
      <c r="X225" s="154"/>
      <c r="Y225" s="154"/>
      <c r="Z225" s="154"/>
      <c r="AA225" s="154"/>
      <c r="AB225" s="154"/>
      <c r="AC225" s="154"/>
      <c r="AD225" s="154"/>
      <c r="AE225" s="154"/>
      <c r="AF225" s="154"/>
      <c r="AG225" s="154"/>
      <c r="AH225" s="154"/>
      <c r="AI225" s="154"/>
      <c r="AJ225" s="154"/>
      <c r="AK225" s="154"/>
      <c r="AL225" s="154"/>
    </row>
    <row r="226" customFormat="false" ht="15" hidden="false" customHeight="false" outlineLevel="0" collapsed="false">
      <c r="A226" s="152" t="s">
        <v>223</v>
      </c>
      <c r="B226" s="154"/>
      <c r="C226" s="154"/>
      <c r="D226" s="154"/>
      <c r="E226" s="154"/>
      <c r="F226" s="154"/>
      <c r="G226" s="154"/>
      <c r="H226" s="154"/>
      <c r="I226" s="154"/>
      <c r="J226" s="154"/>
      <c r="K226" s="154"/>
      <c r="L226" s="154"/>
      <c r="M226" s="154"/>
      <c r="N226" s="154"/>
      <c r="O226" s="154"/>
      <c r="P226" s="154"/>
      <c r="W226" s="152" t="s">
        <v>223</v>
      </c>
      <c r="X226" s="154"/>
      <c r="Y226" s="154"/>
      <c r="Z226" s="154"/>
      <c r="AA226" s="154"/>
      <c r="AB226" s="154"/>
      <c r="AC226" s="154"/>
      <c r="AD226" s="154"/>
      <c r="AE226" s="154"/>
      <c r="AF226" s="154"/>
      <c r="AG226" s="154"/>
      <c r="AH226" s="154"/>
      <c r="AI226" s="154"/>
      <c r="AJ226" s="154"/>
      <c r="AK226" s="154"/>
      <c r="AL226" s="154"/>
    </row>
    <row r="227" customFormat="false" ht="15" hidden="false" customHeight="false" outlineLevel="0" collapsed="false">
      <c r="A227" s="152" t="s">
        <v>250</v>
      </c>
      <c r="B227" s="154"/>
      <c r="C227" s="154"/>
      <c r="D227" s="153" t="n">
        <v>3.96</v>
      </c>
      <c r="E227" s="154"/>
      <c r="F227" s="154"/>
      <c r="G227" s="153" t="n">
        <v>3.96</v>
      </c>
      <c r="H227" s="154"/>
      <c r="I227" s="154"/>
      <c r="J227" s="154"/>
      <c r="K227" s="154"/>
      <c r="L227" s="154"/>
      <c r="M227" s="154"/>
      <c r="N227" s="154"/>
      <c r="O227" s="154"/>
      <c r="P227" s="153" t="n">
        <v>3.96</v>
      </c>
      <c r="W227" s="152" t="s">
        <v>250</v>
      </c>
      <c r="X227" s="154"/>
      <c r="Y227" s="154"/>
      <c r="Z227" s="154"/>
      <c r="AA227" s="154"/>
      <c r="AB227" s="154"/>
      <c r="AC227" s="154"/>
      <c r="AD227" s="154"/>
      <c r="AE227" s="154"/>
      <c r="AF227" s="154"/>
      <c r="AG227" s="154"/>
      <c r="AH227" s="154"/>
      <c r="AI227" s="154"/>
      <c r="AJ227" s="154"/>
      <c r="AK227" s="154"/>
      <c r="AL227" s="154"/>
    </row>
    <row r="233" customFormat="false" ht="15" hidden="false" customHeight="false" outlineLevel="0" collapsed="false">
      <c r="A233" s="148" t="s">
        <v>1113</v>
      </c>
      <c r="B233" s="148"/>
      <c r="C233" s="148"/>
      <c r="D233" s="148"/>
      <c r="E233" s="148"/>
      <c r="F233" s="148"/>
      <c r="G233" s="148"/>
      <c r="H233" s="148"/>
      <c r="I233" s="148"/>
      <c r="J233" s="148"/>
      <c r="K233" s="148"/>
      <c r="L233" s="148"/>
      <c r="M233" s="148"/>
      <c r="N233" s="148"/>
      <c r="O233" s="148"/>
      <c r="P233" s="148"/>
      <c r="R233" s="148" t="s">
        <v>1114</v>
      </c>
      <c r="S233" s="148"/>
      <c r="T233" s="148"/>
      <c r="W233" s="148" t="s">
        <v>1115</v>
      </c>
      <c r="X233" s="148"/>
      <c r="Y233" s="148"/>
      <c r="Z233" s="148"/>
      <c r="AA233" s="148"/>
      <c r="AB233" s="148"/>
      <c r="AC233" s="148"/>
      <c r="AD233" s="148"/>
      <c r="AE233" s="148"/>
      <c r="AF233" s="148"/>
      <c r="AG233" s="148"/>
      <c r="AH233" s="148"/>
      <c r="AI233" s="148"/>
      <c r="AJ233" s="148"/>
      <c r="AK233" s="148"/>
      <c r="AL233" s="148"/>
      <c r="AN233" s="148" t="s">
        <v>1116</v>
      </c>
      <c r="AO233" s="148"/>
      <c r="AP233" s="148"/>
    </row>
    <row r="234" customFormat="false" ht="15" hidden="false" customHeight="false" outlineLevel="0" collapsed="false">
      <c r="A234" s="123"/>
      <c r="B234" s="149" t="s">
        <v>112</v>
      </c>
      <c r="C234" s="149" t="s">
        <v>115</v>
      </c>
      <c r="D234" s="149" t="s">
        <v>119</v>
      </c>
      <c r="E234" s="149" t="s">
        <v>121</v>
      </c>
      <c r="F234" s="149" t="s">
        <v>123</v>
      </c>
      <c r="G234" s="149" t="s">
        <v>125</v>
      </c>
      <c r="H234" s="149" t="s">
        <v>168</v>
      </c>
      <c r="I234" s="149" t="s">
        <v>169</v>
      </c>
      <c r="J234" s="149" t="s">
        <v>170</v>
      </c>
      <c r="K234" s="149" t="s">
        <v>171</v>
      </c>
      <c r="L234" s="149" t="s">
        <v>172</v>
      </c>
      <c r="M234" s="149" t="s">
        <v>173</v>
      </c>
      <c r="N234" s="149" t="s">
        <v>174</v>
      </c>
      <c r="O234" s="149" t="s">
        <v>175</v>
      </c>
      <c r="P234" s="149" t="s">
        <v>176</v>
      </c>
      <c r="R234" s="151"/>
      <c r="S234" s="150" t="s">
        <v>112</v>
      </c>
      <c r="T234" s="150" t="s">
        <v>121</v>
      </c>
      <c r="W234" s="123"/>
      <c r="X234" s="149" t="s">
        <v>112</v>
      </c>
      <c r="Y234" s="149" t="s">
        <v>115</v>
      </c>
      <c r="Z234" s="149" t="s">
        <v>119</v>
      </c>
      <c r="AA234" s="149" t="s">
        <v>121</v>
      </c>
      <c r="AB234" s="149" t="s">
        <v>123</v>
      </c>
      <c r="AC234" s="149" t="s">
        <v>125</v>
      </c>
      <c r="AD234" s="149" t="s">
        <v>168</v>
      </c>
      <c r="AE234" s="149" t="s">
        <v>169</v>
      </c>
      <c r="AF234" s="149" t="s">
        <v>170</v>
      </c>
      <c r="AG234" s="149" t="s">
        <v>171</v>
      </c>
      <c r="AH234" s="149" t="s">
        <v>172</v>
      </c>
      <c r="AI234" s="149" t="s">
        <v>173</v>
      </c>
      <c r="AJ234" s="149" t="s">
        <v>174</v>
      </c>
      <c r="AK234" s="149" t="s">
        <v>175</v>
      </c>
      <c r="AL234" s="149" t="s">
        <v>176</v>
      </c>
      <c r="AN234" s="151"/>
      <c r="AO234" s="150" t="s">
        <v>112</v>
      </c>
      <c r="AP234" s="150" t="s">
        <v>121</v>
      </c>
    </row>
    <row r="235" customFormat="false" ht="15" hidden="false" customHeight="false" outlineLevel="0" collapsed="false">
      <c r="A235" s="152" t="s">
        <v>33</v>
      </c>
      <c r="B235" s="154"/>
      <c r="C235" s="154"/>
      <c r="D235" s="154"/>
      <c r="E235" s="154"/>
      <c r="F235" s="154"/>
      <c r="G235" s="154"/>
      <c r="H235" s="154"/>
      <c r="I235" s="154"/>
      <c r="J235" s="154"/>
      <c r="K235" s="154"/>
      <c r="L235" s="154"/>
      <c r="M235" s="154"/>
      <c r="N235" s="154"/>
      <c r="O235" s="154"/>
      <c r="P235" s="154"/>
      <c r="R235" s="155" t="s">
        <v>33</v>
      </c>
      <c r="S235" s="153" t="n">
        <v>-3.96</v>
      </c>
      <c r="T235" s="153" t="n">
        <v>-3.96</v>
      </c>
      <c r="W235" s="152" t="s">
        <v>33</v>
      </c>
      <c r="X235" s="154"/>
      <c r="Y235" s="154"/>
      <c r="Z235" s="154"/>
      <c r="AA235" s="154"/>
      <c r="AB235" s="154"/>
      <c r="AC235" s="154"/>
      <c r="AD235" s="154"/>
      <c r="AE235" s="154"/>
      <c r="AF235" s="154"/>
      <c r="AG235" s="154"/>
      <c r="AH235" s="154"/>
      <c r="AI235" s="154"/>
      <c r="AJ235" s="154"/>
      <c r="AK235" s="154"/>
      <c r="AL235" s="154"/>
      <c r="AN235" s="155" t="s">
        <v>33</v>
      </c>
      <c r="AO235" s="156" t="n">
        <v>2</v>
      </c>
      <c r="AP235" s="156" t="n">
        <v>2</v>
      </c>
    </row>
    <row r="236" customFormat="false" ht="15" hidden="false" customHeight="false" outlineLevel="0" collapsed="false">
      <c r="A236" s="152" t="s">
        <v>96</v>
      </c>
      <c r="B236" s="154"/>
      <c r="C236" s="154"/>
      <c r="D236" s="154"/>
      <c r="E236" s="154"/>
      <c r="F236" s="154"/>
      <c r="G236" s="154"/>
      <c r="H236" s="154"/>
      <c r="I236" s="154"/>
      <c r="J236" s="154"/>
      <c r="K236" s="154"/>
      <c r="L236" s="154"/>
      <c r="M236" s="154"/>
      <c r="N236" s="154"/>
      <c r="O236" s="154"/>
      <c r="P236" s="154"/>
      <c r="R236" s="155" t="s">
        <v>177</v>
      </c>
      <c r="S236" s="153" t="n">
        <v>-3.96</v>
      </c>
      <c r="T236" s="153" t="n">
        <v>-3.96</v>
      </c>
      <c r="W236" s="152" t="s">
        <v>96</v>
      </c>
      <c r="X236" s="154"/>
      <c r="Y236" s="154"/>
      <c r="Z236" s="154"/>
      <c r="AA236" s="154"/>
      <c r="AB236" s="154"/>
      <c r="AC236" s="154"/>
      <c r="AD236" s="154"/>
      <c r="AE236" s="154"/>
      <c r="AF236" s="154"/>
      <c r="AG236" s="154"/>
      <c r="AH236" s="154"/>
      <c r="AI236" s="154"/>
      <c r="AJ236" s="154"/>
      <c r="AK236" s="154"/>
      <c r="AL236" s="154"/>
      <c r="AN236" s="155" t="s">
        <v>177</v>
      </c>
      <c r="AO236" s="156" t="n">
        <v>2</v>
      </c>
      <c r="AP236" s="156" t="n">
        <v>2</v>
      </c>
    </row>
    <row r="237" customFormat="false" ht="15" hidden="false" customHeight="false" outlineLevel="0" collapsed="false">
      <c r="A237" s="152" t="s">
        <v>34</v>
      </c>
      <c r="B237" s="154"/>
      <c r="C237" s="154"/>
      <c r="D237" s="153" t="n">
        <v>-3.96</v>
      </c>
      <c r="E237" s="154"/>
      <c r="F237" s="154"/>
      <c r="G237" s="153" t="n">
        <v>-3.96</v>
      </c>
      <c r="H237" s="154"/>
      <c r="I237" s="154"/>
      <c r="J237" s="154"/>
      <c r="K237" s="154"/>
      <c r="L237" s="154"/>
      <c r="M237" s="154"/>
      <c r="N237" s="154"/>
      <c r="O237" s="154"/>
      <c r="P237" s="153" t="n">
        <v>-3.96</v>
      </c>
      <c r="W237" s="152" t="s">
        <v>34</v>
      </c>
      <c r="X237" s="154"/>
      <c r="Y237" s="154"/>
      <c r="Z237" s="156" t="n">
        <v>2</v>
      </c>
      <c r="AA237" s="154"/>
      <c r="AB237" s="154"/>
      <c r="AC237" s="156" t="n">
        <v>2</v>
      </c>
      <c r="AD237" s="154"/>
      <c r="AE237" s="154"/>
      <c r="AF237" s="154"/>
      <c r="AG237" s="154"/>
      <c r="AH237" s="154"/>
      <c r="AI237" s="154"/>
      <c r="AJ237" s="154"/>
      <c r="AK237" s="154"/>
      <c r="AL237" s="156" t="n">
        <v>2</v>
      </c>
    </row>
    <row r="238" customFormat="false" ht="15" hidden="false" customHeight="false" outlineLevel="0" collapsed="false">
      <c r="A238" s="152" t="s">
        <v>97</v>
      </c>
      <c r="B238" s="154"/>
      <c r="C238" s="154"/>
      <c r="D238" s="154"/>
      <c r="E238" s="154"/>
      <c r="F238" s="154"/>
      <c r="G238" s="154"/>
      <c r="H238" s="154"/>
      <c r="I238" s="154"/>
      <c r="J238" s="154"/>
      <c r="K238" s="154"/>
      <c r="L238" s="154"/>
      <c r="M238" s="154"/>
      <c r="N238" s="154"/>
      <c r="O238" s="154"/>
      <c r="P238" s="154"/>
      <c r="W238" s="152" t="s">
        <v>97</v>
      </c>
      <c r="X238" s="154"/>
      <c r="Y238" s="154"/>
      <c r="Z238" s="154"/>
      <c r="AA238" s="154"/>
      <c r="AB238" s="154"/>
      <c r="AC238" s="154"/>
      <c r="AD238" s="154"/>
      <c r="AE238" s="154"/>
      <c r="AF238" s="154"/>
      <c r="AG238" s="154"/>
      <c r="AH238" s="154"/>
      <c r="AI238" s="154"/>
      <c r="AJ238" s="154"/>
      <c r="AK238" s="154"/>
      <c r="AL238" s="154"/>
    </row>
    <row r="239" customFormat="false" ht="15" hidden="false" customHeight="false" outlineLevel="0" collapsed="false">
      <c r="A239" s="152" t="s">
        <v>98</v>
      </c>
      <c r="B239" s="154"/>
      <c r="C239" s="154"/>
      <c r="D239" s="154"/>
      <c r="E239" s="154"/>
      <c r="F239" s="154"/>
      <c r="G239" s="154"/>
      <c r="H239" s="154"/>
      <c r="I239" s="154"/>
      <c r="J239" s="154"/>
      <c r="K239" s="154"/>
      <c r="L239" s="154"/>
      <c r="M239" s="154"/>
      <c r="N239" s="154"/>
      <c r="O239" s="154"/>
      <c r="P239" s="154"/>
      <c r="W239" s="152" t="s">
        <v>98</v>
      </c>
      <c r="X239" s="154"/>
      <c r="Y239" s="154"/>
      <c r="Z239" s="154"/>
      <c r="AA239" s="154"/>
      <c r="AB239" s="154"/>
      <c r="AC239" s="154"/>
      <c r="AD239" s="154"/>
      <c r="AE239" s="154"/>
      <c r="AF239" s="154"/>
      <c r="AG239" s="154"/>
      <c r="AH239" s="154"/>
      <c r="AI239" s="154"/>
      <c r="AJ239" s="154"/>
      <c r="AK239" s="154"/>
      <c r="AL239" s="154"/>
    </row>
    <row r="240" customFormat="false" ht="15" hidden="false" customHeight="false" outlineLevel="0" collapsed="false">
      <c r="A240" s="152" t="s">
        <v>99</v>
      </c>
      <c r="B240" s="154"/>
      <c r="C240" s="154"/>
      <c r="D240" s="153" t="n">
        <v>-3.96</v>
      </c>
      <c r="E240" s="154"/>
      <c r="F240" s="154"/>
      <c r="G240" s="153" t="n">
        <v>-3.96</v>
      </c>
      <c r="H240" s="154"/>
      <c r="I240" s="154"/>
      <c r="J240" s="154"/>
      <c r="K240" s="154"/>
      <c r="L240" s="154"/>
      <c r="M240" s="154"/>
      <c r="N240" s="154"/>
      <c r="O240" s="154"/>
      <c r="P240" s="153" t="n">
        <v>-3.96</v>
      </c>
      <c r="W240" s="152" t="s">
        <v>99</v>
      </c>
      <c r="X240" s="154"/>
      <c r="Y240" s="154"/>
      <c r="Z240" s="156" t="n">
        <v>2</v>
      </c>
      <c r="AA240" s="154"/>
      <c r="AB240" s="154"/>
      <c r="AC240" s="156" t="n">
        <v>2</v>
      </c>
      <c r="AD240" s="154"/>
      <c r="AE240" s="154"/>
      <c r="AF240" s="154"/>
      <c r="AG240" s="154"/>
      <c r="AH240" s="154"/>
      <c r="AI240" s="154"/>
      <c r="AJ240" s="154"/>
      <c r="AK240" s="154"/>
      <c r="AL240" s="156" t="n">
        <v>2</v>
      </c>
    </row>
    <row r="241" customFormat="false" ht="15" hidden="false" customHeight="false" outlineLevel="0" collapsed="false">
      <c r="A241" s="152" t="s">
        <v>177</v>
      </c>
      <c r="B241" s="154"/>
      <c r="C241" s="154"/>
      <c r="D241" s="154"/>
      <c r="E241" s="154"/>
      <c r="F241" s="154"/>
      <c r="G241" s="154"/>
      <c r="H241" s="154"/>
      <c r="I241" s="154"/>
      <c r="J241" s="154"/>
      <c r="K241" s="154"/>
      <c r="L241" s="154"/>
      <c r="M241" s="154"/>
      <c r="N241" s="154"/>
      <c r="O241" s="154"/>
      <c r="P241" s="154"/>
      <c r="W241" s="152" t="s">
        <v>177</v>
      </c>
      <c r="X241" s="154"/>
      <c r="Y241" s="154"/>
      <c r="Z241" s="154"/>
      <c r="AA241" s="154"/>
      <c r="AB241" s="154"/>
      <c r="AC241" s="154"/>
      <c r="AD241" s="154"/>
      <c r="AE241" s="154"/>
      <c r="AF241" s="154"/>
      <c r="AG241" s="154"/>
      <c r="AH241" s="154"/>
      <c r="AI241" s="154"/>
      <c r="AJ241" s="154"/>
      <c r="AK241" s="154"/>
      <c r="AL241" s="154"/>
    </row>
    <row r="242" customFormat="false" ht="15" hidden="false" customHeight="false" outlineLevel="0" collapsed="false">
      <c r="A242" s="152" t="s">
        <v>205</v>
      </c>
      <c r="B242" s="154"/>
      <c r="C242" s="154"/>
      <c r="D242" s="154"/>
      <c r="E242" s="154"/>
      <c r="F242" s="154"/>
      <c r="G242" s="154"/>
      <c r="H242" s="154"/>
      <c r="I242" s="154"/>
      <c r="J242" s="154"/>
      <c r="K242" s="154"/>
      <c r="L242" s="154"/>
      <c r="M242" s="154"/>
      <c r="N242" s="154"/>
      <c r="O242" s="154"/>
      <c r="P242" s="154"/>
      <c r="W242" s="152" t="s">
        <v>205</v>
      </c>
      <c r="X242" s="154"/>
      <c r="Y242" s="154"/>
      <c r="Z242" s="154"/>
      <c r="AA242" s="154"/>
      <c r="AB242" s="154"/>
      <c r="AC242" s="154"/>
      <c r="AD242" s="154"/>
      <c r="AE242" s="154"/>
      <c r="AF242" s="154"/>
      <c r="AG242" s="154"/>
      <c r="AH242" s="154"/>
      <c r="AI242" s="154"/>
      <c r="AJ242" s="154"/>
      <c r="AK242" s="154"/>
      <c r="AL242" s="154"/>
    </row>
    <row r="243" customFormat="false" ht="15" hidden="false" customHeight="false" outlineLevel="0" collapsed="false">
      <c r="A243" s="152" t="s">
        <v>233</v>
      </c>
      <c r="B243" s="154"/>
      <c r="C243" s="154"/>
      <c r="D243" s="154"/>
      <c r="E243" s="154"/>
      <c r="F243" s="154"/>
      <c r="G243" s="154"/>
      <c r="H243" s="154"/>
      <c r="I243" s="154"/>
      <c r="J243" s="154"/>
      <c r="K243" s="154"/>
      <c r="L243" s="154"/>
      <c r="M243" s="154"/>
      <c r="N243" s="154"/>
      <c r="O243" s="154"/>
      <c r="P243" s="154"/>
      <c r="W243" s="152" t="s">
        <v>233</v>
      </c>
      <c r="X243" s="154"/>
      <c r="Y243" s="154"/>
      <c r="Z243" s="154"/>
      <c r="AA243" s="154"/>
      <c r="AB243" s="154"/>
      <c r="AC243" s="154"/>
      <c r="AD243" s="154"/>
      <c r="AE243" s="154"/>
      <c r="AF243" s="154"/>
      <c r="AG243" s="154"/>
      <c r="AH243" s="154"/>
      <c r="AI243" s="154"/>
      <c r="AJ243" s="154"/>
      <c r="AK243" s="154"/>
      <c r="AL243" s="154"/>
    </row>
    <row r="244" customFormat="false" ht="15" hidden="false" customHeight="false" outlineLevel="0" collapsed="false">
      <c r="A244" s="152" t="s">
        <v>186</v>
      </c>
      <c r="B244" s="154"/>
      <c r="C244" s="154"/>
      <c r="D244" s="154"/>
      <c r="E244" s="154"/>
      <c r="F244" s="154"/>
      <c r="G244" s="154"/>
      <c r="H244" s="154"/>
      <c r="I244" s="154"/>
      <c r="J244" s="154"/>
      <c r="K244" s="154"/>
      <c r="L244" s="154"/>
      <c r="M244" s="154"/>
      <c r="N244" s="154"/>
      <c r="O244" s="154"/>
      <c r="P244" s="154"/>
      <c r="W244" s="152" t="s">
        <v>186</v>
      </c>
      <c r="X244" s="154"/>
      <c r="Y244" s="154"/>
      <c r="Z244" s="154"/>
      <c r="AA244" s="154"/>
      <c r="AB244" s="154"/>
      <c r="AC244" s="154"/>
      <c r="AD244" s="154"/>
      <c r="AE244" s="154"/>
      <c r="AF244" s="154"/>
      <c r="AG244" s="154"/>
      <c r="AH244" s="154"/>
      <c r="AI244" s="154"/>
      <c r="AJ244" s="154"/>
      <c r="AK244" s="154"/>
      <c r="AL244" s="154"/>
    </row>
    <row r="245" customFormat="false" ht="15" hidden="false" customHeight="false" outlineLevel="0" collapsed="false">
      <c r="A245" s="152" t="s">
        <v>215</v>
      </c>
      <c r="B245" s="154"/>
      <c r="C245" s="154"/>
      <c r="D245" s="154"/>
      <c r="E245" s="154"/>
      <c r="F245" s="154"/>
      <c r="G245" s="154"/>
      <c r="H245" s="154"/>
      <c r="I245" s="154"/>
      <c r="J245" s="154"/>
      <c r="K245" s="154"/>
      <c r="L245" s="154"/>
      <c r="M245" s="154"/>
      <c r="N245" s="154"/>
      <c r="O245" s="154"/>
      <c r="P245" s="154"/>
      <c r="W245" s="152" t="s">
        <v>215</v>
      </c>
      <c r="X245" s="154"/>
      <c r="Y245" s="154"/>
      <c r="Z245" s="154"/>
      <c r="AA245" s="154"/>
      <c r="AB245" s="154"/>
      <c r="AC245" s="154"/>
      <c r="AD245" s="154"/>
      <c r="AE245" s="154"/>
      <c r="AF245" s="154"/>
      <c r="AG245" s="154"/>
      <c r="AH245" s="154"/>
      <c r="AI245" s="154"/>
      <c r="AJ245" s="154"/>
      <c r="AK245" s="154"/>
      <c r="AL245" s="154"/>
    </row>
    <row r="246" customFormat="false" ht="15" hidden="false" customHeight="false" outlineLevel="0" collapsed="false">
      <c r="A246" s="152" t="s">
        <v>243</v>
      </c>
      <c r="B246" s="154"/>
      <c r="C246" s="154"/>
      <c r="D246" s="154"/>
      <c r="E246" s="154"/>
      <c r="F246" s="154"/>
      <c r="G246" s="154"/>
      <c r="H246" s="154"/>
      <c r="I246" s="154"/>
      <c r="J246" s="154"/>
      <c r="K246" s="154"/>
      <c r="L246" s="154"/>
      <c r="M246" s="154"/>
      <c r="N246" s="154"/>
      <c r="O246" s="154"/>
      <c r="P246" s="154"/>
      <c r="W246" s="152" t="s">
        <v>243</v>
      </c>
      <c r="X246" s="154"/>
      <c r="Y246" s="154"/>
      <c r="Z246" s="154"/>
      <c r="AA246" s="154"/>
      <c r="AB246" s="154"/>
      <c r="AC246" s="154"/>
      <c r="AD246" s="154"/>
      <c r="AE246" s="154"/>
      <c r="AF246" s="154"/>
      <c r="AG246" s="154"/>
      <c r="AH246" s="154"/>
      <c r="AI246" s="154"/>
      <c r="AJ246" s="154"/>
      <c r="AK246" s="154"/>
      <c r="AL246" s="154"/>
    </row>
    <row r="247" customFormat="false" ht="15" hidden="false" customHeight="false" outlineLevel="0" collapsed="false">
      <c r="A247" s="152" t="s">
        <v>195</v>
      </c>
      <c r="B247" s="154"/>
      <c r="C247" s="154"/>
      <c r="D247" s="154"/>
      <c r="E247" s="154"/>
      <c r="F247" s="154"/>
      <c r="G247" s="154"/>
      <c r="H247" s="154"/>
      <c r="I247" s="154"/>
      <c r="J247" s="154"/>
      <c r="K247" s="154"/>
      <c r="L247" s="154"/>
      <c r="M247" s="154"/>
      <c r="N247" s="154"/>
      <c r="O247" s="154"/>
      <c r="P247" s="154"/>
      <c r="W247" s="152" t="s">
        <v>195</v>
      </c>
      <c r="X247" s="154"/>
      <c r="Y247" s="154"/>
      <c r="Z247" s="154"/>
      <c r="AA247" s="154"/>
      <c r="AB247" s="154"/>
      <c r="AC247" s="154"/>
      <c r="AD247" s="154"/>
      <c r="AE247" s="154"/>
      <c r="AF247" s="154"/>
      <c r="AG247" s="154"/>
      <c r="AH247" s="154"/>
      <c r="AI247" s="154"/>
      <c r="AJ247" s="154"/>
      <c r="AK247" s="154"/>
      <c r="AL247" s="154"/>
    </row>
    <row r="248" customFormat="false" ht="15" hidden="false" customHeight="false" outlineLevel="0" collapsed="false">
      <c r="A248" s="152" t="s">
        <v>223</v>
      </c>
      <c r="B248" s="154"/>
      <c r="C248" s="154"/>
      <c r="D248" s="154"/>
      <c r="E248" s="154"/>
      <c r="F248" s="154"/>
      <c r="G248" s="154"/>
      <c r="H248" s="154"/>
      <c r="I248" s="154"/>
      <c r="J248" s="154"/>
      <c r="K248" s="154"/>
      <c r="L248" s="154"/>
      <c r="M248" s="154"/>
      <c r="N248" s="154"/>
      <c r="O248" s="154"/>
      <c r="P248" s="154"/>
      <c r="W248" s="152" t="s">
        <v>223</v>
      </c>
      <c r="X248" s="154"/>
      <c r="Y248" s="154"/>
      <c r="Z248" s="154"/>
      <c r="AA248" s="154"/>
      <c r="AB248" s="154"/>
      <c r="AC248" s="154"/>
      <c r="AD248" s="154"/>
      <c r="AE248" s="154"/>
      <c r="AF248" s="154"/>
      <c r="AG248" s="154"/>
      <c r="AH248" s="154"/>
      <c r="AI248" s="154"/>
      <c r="AJ248" s="154"/>
      <c r="AK248" s="154"/>
      <c r="AL248" s="154"/>
    </row>
    <row r="249" customFormat="false" ht="15" hidden="false" customHeight="false" outlineLevel="0" collapsed="false">
      <c r="A249" s="152" t="s">
        <v>250</v>
      </c>
      <c r="B249" s="154"/>
      <c r="C249" s="154"/>
      <c r="D249" s="153" t="n">
        <v>-3.96</v>
      </c>
      <c r="E249" s="154"/>
      <c r="F249" s="154"/>
      <c r="G249" s="153" t="n">
        <v>-3.96</v>
      </c>
      <c r="H249" s="154"/>
      <c r="I249" s="154"/>
      <c r="J249" s="154"/>
      <c r="K249" s="154"/>
      <c r="L249" s="154"/>
      <c r="M249" s="154"/>
      <c r="N249" s="154"/>
      <c r="O249" s="154"/>
      <c r="P249" s="153" t="n">
        <v>-3.96</v>
      </c>
      <c r="W249" s="152" t="s">
        <v>250</v>
      </c>
      <c r="X249" s="154"/>
      <c r="Y249" s="154"/>
      <c r="Z249" s="156" t="n">
        <v>2</v>
      </c>
      <c r="AA249" s="154"/>
      <c r="AB249" s="154"/>
      <c r="AC249" s="156" t="n">
        <v>2</v>
      </c>
      <c r="AD249" s="154"/>
      <c r="AE249" s="154"/>
      <c r="AF249" s="154"/>
      <c r="AG249" s="154"/>
      <c r="AH249" s="154"/>
      <c r="AI249" s="154"/>
      <c r="AJ249" s="154"/>
      <c r="AK249" s="154"/>
      <c r="AL249" s="156" t="n">
        <v>2</v>
      </c>
    </row>
    <row r="253" customFormat="false" ht="15" hidden="false" customHeight="false" outlineLevel="0" collapsed="false">
      <c r="A253" s="148" t="s">
        <v>1117</v>
      </c>
      <c r="B253" s="148"/>
      <c r="C253" s="148"/>
      <c r="D253" s="148"/>
      <c r="E253" s="148"/>
      <c r="F253" s="148"/>
      <c r="G253" s="148"/>
      <c r="H253" s="148"/>
      <c r="I253" s="148"/>
      <c r="J253" s="148"/>
      <c r="K253" s="148"/>
      <c r="L253" s="148"/>
      <c r="M253" s="148"/>
      <c r="N253" s="148"/>
      <c r="O253" s="148"/>
      <c r="P253" s="148"/>
      <c r="R253" s="148" t="s">
        <v>1118</v>
      </c>
      <c r="S253" s="148"/>
      <c r="T253" s="148"/>
      <c r="W253" s="148" t="s">
        <v>1119</v>
      </c>
      <c r="X253" s="148"/>
      <c r="Y253" s="148"/>
      <c r="Z253" s="148"/>
      <c r="AA253" s="148"/>
      <c r="AB253" s="148"/>
      <c r="AC253" s="148"/>
      <c r="AD253" s="148"/>
      <c r="AE253" s="148"/>
      <c r="AF253" s="148"/>
      <c r="AG253" s="148"/>
      <c r="AH253" s="148"/>
      <c r="AI253" s="148"/>
      <c r="AJ253" s="148"/>
      <c r="AK253" s="148"/>
      <c r="AL253" s="148"/>
      <c r="AN253" s="148" t="s">
        <v>1118</v>
      </c>
      <c r="AO253" s="148"/>
      <c r="AP253" s="148"/>
    </row>
    <row r="254" customFormat="false" ht="15" hidden="false" customHeight="false" outlineLevel="0" collapsed="false">
      <c r="A254" s="123"/>
      <c r="B254" s="149" t="s">
        <v>112</v>
      </c>
      <c r="C254" s="149" t="s">
        <v>115</v>
      </c>
      <c r="D254" s="149" t="s">
        <v>119</v>
      </c>
      <c r="E254" s="149" t="s">
        <v>121</v>
      </c>
      <c r="F254" s="149" t="s">
        <v>123</v>
      </c>
      <c r="G254" s="149" t="s">
        <v>125</v>
      </c>
      <c r="H254" s="149" t="s">
        <v>168</v>
      </c>
      <c r="I254" s="149" t="s">
        <v>169</v>
      </c>
      <c r="J254" s="149" t="s">
        <v>170</v>
      </c>
      <c r="K254" s="149" t="s">
        <v>171</v>
      </c>
      <c r="L254" s="149" t="s">
        <v>172</v>
      </c>
      <c r="M254" s="149" t="s">
        <v>173</v>
      </c>
      <c r="N254" s="149" t="s">
        <v>174</v>
      </c>
      <c r="O254" s="149" t="s">
        <v>175</v>
      </c>
      <c r="P254" s="149" t="s">
        <v>176</v>
      </c>
      <c r="R254" s="151"/>
      <c r="S254" s="150" t="s">
        <v>112</v>
      </c>
      <c r="T254" s="150" t="s">
        <v>121</v>
      </c>
      <c r="W254" s="123"/>
      <c r="X254" s="149" t="s">
        <v>112</v>
      </c>
      <c r="Y254" s="149" t="s">
        <v>115</v>
      </c>
      <c r="Z254" s="149" t="s">
        <v>119</v>
      </c>
      <c r="AA254" s="149" t="s">
        <v>121</v>
      </c>
      <c r="AB254" s="149" t="s">
        <v>123</v>
      </c>
      <c r="AC254" s="149" t="s">
        <v>125</v>
      </c>
      <c r="AD254" s="149" t="s">
        <v>168</v>
      </c>
      <c r="AE254" s="149" t="s">
        <v>169</v>
      </c>
      <c r="AF254" s="149" t="s">
        <v>170</v>
      </c>
      <c r="AG254" s="149" t="s">
        <v>171</v>
      </c>
      <c r="AH254" s="149" t="s">
        <v>172</v>
      </c>
      <c r="AI254" s="149" t="s">
        <v>173</v>
      </c>
      <c r="AJ254" s="149" t="s">
        <v>174</v>
      </c>
      <c r="AK254" s="149" t="s">
        <v>175</v>
      </c>
      <c r="AL254" s="149" t="s">
        <v>176</v>
      </c>
      <c r="AN254" s="151"/>
      <c r="AO254" s="150" t="s">
        <v>112</v>
      </c>
      <c r="AP254" s="150" t="s">
        <v>121</v>
      </c>
    </row>
    <row r="255" customFormat="false" ht="15" hidden="false" customHeight="false" outlineLevel="0" collapsed="false">
      <c r="A255" s="152" t="s">
        <v>33</v>
      </c>
      <c r="B255" s="154"/>
      <c r="C255" s="154"/>
      <c r="D255" s="154"/>
      <c r="E255" s="154"/>
      <c r="F255" s="154"/>
      <c r="G255" s="154"/>
      <c r="H255" s="154"/>
      <c r="I255" s="154"/>
      <c r="J255" s="154"/>
      <c r="K255" s="154"/>
      <c r="L255" s="154"/>
      <c r="M255" s="154"/>
      <c r="N255" s="154"/>
      <c r="O255" s="154"/>
      <c r="P255" s="154"/>
      <c r="R255" s="155" t="s">
        <v>33</v>
      </c>
      <c r="S255" s="153" t="n">
        <v>3.96</v>
      </c>
      <c r="T255" s="153" t="n">
        <v>3.96</v>
      </c>
      <c r="W255" s="152" t="s">
        <v>33</v>
      </c>
      <c r="X255" s="154"/>
      <c r="Y255" s="154"/>
      <c r="Z255" s="154"/>
      <c r="AA255" s="154"/>
      <c r="AB255" s="154"/>
      <c r="AC255" s="154"/>
      <c r="AD255" s="154"/>
      <c r="AE255" s="154"/>
      <c r="AF255" s="154"/>
      <c r="AG255" s="154"/>
      <c r="AH255" s="154"/>
      <c r="AI255" s="154"/>
      <c r="AJ255" s="154"/>
      <c r="AK255" s="154"/>
      <c r="AL255" s="154"/>
      <c r="AN255" s="155" t="s">
        <v>33</v>
      </c>
      <c r="AO255" s="153" t="n">
        <v>0</v>
      </c>
      <c r="AP255" s="153" t="n">
        <v>0</v>
      </c>
    </row>
    <row r="256" customFormat="false" ht="15" hidden="false" customHeight="false" outlineLevel="0" collapsed="false">
      <c r="A256" s="152" t="s">
        <v>96</v>
      </c>
      <c r="B256" s="154"/>
      <c r="C256" s="154"/>
      <c r="D256" s="154"/>
      <c r="E256" s="154"/>
      <c r="F256" s="154"/>
      <c r="G256" s="154"/>
      <c r="H256" s="154"/>
      <c r="I256" s="154"/>
      <c r="J256" s="154"/>
      <c r="K256" s="154"/>
      <c r="L256" s="154"/>
      <c r="M256" s="154"/>
      <c r="N256" s="154"/>
      <c r="O256" s="154"/>
      <c r="P256" s="154"/>
      <c r="R256" s="155" t="s">
        <v>177</v>
      </c>
      <c r="S256" s="153" t="n">
        <v>3.96</v>
      </c>
      <c r="T256" s="153" t="n">
        <v>3.96</v>
      </c>
      <c r="W256" s="152" t="s">
        <v>96</v>
      </c>
      <c r="X256" s="154"/>
      <c r="Y256" s="154"/>
      <c r="Z256" s="154"/>
      <c r="AA256" s="154"/>
      <c r="AB256" s="154"/>
      <c r="AC256" s="154"/>
      <c r="AD256" s="154"/>
      <c r="AE256" s="154"/>
      <c r="AF256" s="154"/>
      <c r="AG256" s="154"/>
      <c r="AH256" s="154"/>
      <c r="AI256" s="154"/>
      <c r="AJ256" s="154"/>
      <c r="AK256" s="154"/>
      <c r="AL256" s="154"/>
      <c r="AN256" s="155" t="s">
        <v>177</v>
      </c>
      <c r="AO256" s="153" t="n">
        <v>0</v>
      </c>
      <c r="AP256" s="153" t="n">
        <v>0</v>
      </c>
    </row>
    <row r="257" customFormat="false" ht="15" hidden="false" customHeight="false" outlineLevel="0" collapsed="false">
      <c r="A257" s="152" t="s">
        <v>34</v>
      </c>
      <c r="B257" s="154"/>
      <c r="C257" s="154"/>
      <c r="D257" s="153" t="n">
        <v>3.96</v>
      </c>
      <c r="E257" s="154"/>
      <c r="F257" s="154"/>
      <c r="G257" s="153" t="n">
        <v>3.96</v>
      </c>
      <c r="H257" s="154"/>
      <c r="I257" s="154"/>
      <c r="J257" s="154"/>
      <c r="K257" s="154"/>
      <c r="L257" s="154"/>
      <c r="M257" s="154"/>
      <c r="N257" s="154"/>
      <c r="O257" s="154"/>
      <c r="P257" s="153" t="n">
        <v>3.96</v>
      </c>
      <c r="W257" s="152" t="s">
        <v>34</v>
      </c>
      <c r="X257" s="154"/>
      <c r="Y257" s="154"/>
      <c r="Z257" s="154"/>
      <c r="AA257" s="154"/>
      <c r="AB257" s="154"/>
      <c r="AC257" s="154"/>
      <c r="AD257" s="154"/>
      <c r="AE257" s="154"/>
      <c r="AF257" s="154"/>
      <c r="AG257" s="154"/>
      <c r="AH257" s="154"/>
      <c r="AI257" s="154"/>
      <c r="AJ257" s="154"/>
      <c r="AK257" s="154"/>
      <c r="AL257" s="154"/>
    </row>
    <row r="258" customFormat="false" ht="15" hidden="false" customHeight="false" outlineLevel="0" collapsed="false">
      <c r="A258" s="152" t="s">
        <v>97</v>
      </c>
      <c r="B258" s="154"/>
      <c r="C258" s="154"/>
      <c r="D258" s="154"/>
      <c r="E258" s="154"/>
      <c r="F258" s="154"/>
      <c r="G258" s="154"/>
      <c r="H258" s="154"/>
      <c r="I258" s="154"/>
      <c r="J258" s="154"/>
      <c r="K258" s="154"/>
      <c r="L258" s="154"/>
      <c r="M258" s="154"/>
      <c r="N258" s="154"/>
      <c r="O258" s="154"/>
      <c r="P258" s="154"/>
      <c r="W258" s="152" t="s">
        <v>97</v>
      </c>
      <c r="X258" s="154"/>
      <c r="Y258" s="154"/>
      <c r="Z258" s="154"/>
      <c r="AA258" s="154"/>
      <c r="AB258" s="154"/>
      <c r="AC258" s="154"/>
      <c r="AD258" s="154"/>
      <c r="AE258" s="154"/>
      <c r="AF258" s="154"/>
      <c r="AG258" s="154"/>
      <c r="AH258" s="154"/>
      <c r="AI258" s="154"/>
      <c r="AJ258" s="154"/>
      <c r="AK258" s="154"/>
      <c r="AL258" s="154"/>
    </row>
    <row r="259" customFormat="false" ht="15" hidden="false" customHeight="false" outlineLevel="0" collapsed="false">
      <c r="A259" s="152" t="s">
        <v>98</v>
      </c>
      <c r="B259" s="154"/>
      <c r="C259" s="154"/>
      <c r="D259" s="154"/>
      <c r="E259" s="154"/>
      <c r="F259" s="154"/>
      <c r="G259" s="154"/>
      <c r="H259" s="154"/>
      <c r="I259" s="154"/>
      <c r="J259" s="154"/>
      <c r="K259" s="154"/>
      <c r="L259" s="154"/>
      <c r="M259" s="154"/>
      <c r="N259" s="154"/>
      <c r="O259" s="154"/>
      <c r="P259" s="154"/>
      <c r="W259" s="152" t="s">
        <v>98</v>
      </c>
      <c r="X259" s="154"/>
      <c r="Y259" s="154"/>
      <c r="Z259" s="154"/>
      <c r="AA259" s="154"/>
      <c r="AB259" s="154"/>
      <c r="AC259" s="154"/>
      <c r="AD259" s="154"/>
      <c r="AE259" s="154"/>
      <c r="AF259" s="154"/>
      <c r="AG259" s="154"/>
      <c r="AH259" s="154"/>
      <c r="AI259" s="154"/>
      <c r="AJ259" s="154"/>
      <c r="AK259" s="154"/>
      <c r="AL259" s="154"/>
    </row>
    <row r="260" customFormat="false" ht="15" hidden="false" customHeight="false" outlineLevel="0" collapsed="false">
      <c r="A260" s="152" t="s">
        <v>99</v>
      </c>
      <c r="B260" s="154"/>
      <c r="C260" s="154"/>
      <c r="D260" s="153" t="n">
        <v>3.96</v>
      </c>
      <c r="E260" s="154"/>
      <c r="F260" s="154"/>
      <c r="G260" s="153" t="n">
        <v>3.96</v>
      </c>
      <c r="H260" s="154"/>
      <c r="I260" s="154"/>
      <c r="J260" s="154"/>
      <c r="K260" s="154"/>
      <c r="L260" s="154"/>
      <c r="M260" s="154"/>
      <c r="N260" s="154"/>
      <c r="O260" s="154"/>
      <c r="P260" s="153" t="n">
        <v>3.96</v>
      </c>
      <c r="W260" s="152" t="s">
        <v>99</v>
      </c>
      <c r="X260" s="154"/>
      <c r="Y260" s="154"/>
      <c r="Z260" s="154"/>
      <c r="AA260" s="154"/>
      <c r="AB260" s="154"/>
      <c r="AC260" s="154"/>
      <c r="AD260" s="154"/>
      <c r="AE260" s="154"/>
      <c r="AF260" s="154"/>
      <c r="AG260" s="154"/>
      <c r="AH260" s="154"/>
      <c r="AI260" s="154"/>
      <c r="AJ260" s="154"/>
      <c r="AK260" s="154"/>
      <c r="AL260" s="154"/>
    </row>
    <row r="261" customFormat="false" ht="15" hidden="false" customHeight="false" outlineLevel="0" collapsed="false">
      <c r="A261" s="152" t="s">
        <v>177</v>
      </c>
      <c r="B261" s="154"/>
      <c r="C261" s="154"/>
      <c r="D261" s="154"/>
      <c r="E261" s="154"/>
      <c r="F261" s="154"/>
      <c r="G261" s="154"/>
      <c r="H261" s="154"/>
      <c r="I261" s="154"/>
      <c r="J261" s="154"/>
      <c r="K261" s="154"/>
      <c r="L261" s="154"/>
      <c r="M261" s="154"/>
      <c r="N261" s="154"/>
      <c r="O261" s="154"/>
      <c r="P261" s="154"/>
      <c r="W261" s="152" t="s">
        <v>177</v>
      </c>
      <c r="X261" s="154"/>
      <c r="Y261" s="154"/>
      <c r="Z261" s="154"/>
      <c r="AA261" s="154"/>
      <c r="AB261" s="154"/>
      <c r="AC261" s="154"/>
      <c r="AD261" s="154"/>
      <c r="AE261" s="154"/>
      <c r="AF261" s="154"/>
      <c r="AG261" s="154"/>
      <c r="AH261" s="154"/>
      <c r="AI261" s="154"/>
      <c r="AJ261" s="154"/>
      <c r="AK261" s="154"/>
      <c r="AL261" s="154"/>
    </row>
    <row r="262" customFormat="false" ht="15" hidden="false" customHeight="false" outlineLevel="0" collapsed="false">
      <c r="A262" s="152" t="s">
        <v>205</v>
      </c>
      <c r="B262" s="154"/>
      <c r="C262" s="154"/>
      <c r="D262" s="154"/>
      <c r="E262" s="154"/>
      <c r="F262" s="154"/>
      <c r="G262" s="154"/>
      <c r="H262" s="154"/>
      <c r="I262" s="154"/>
      <c r="J262" s="154"/>
      <c r="K262" s="154"/>
      <c r="L262" s="154"/>
      <c r="M262" s="154"/>
      <c r="N262" s="154"/>
      <c r="O262" s="154"/>
      <c r="P262" s="154"/>
      <c r="W262" s="152" t="s">
        <v>205</v>
      </c>
      <c r="X262" s="154"/>
      <c r="Y262" s="154"/>
      <c r="Z262" s="154"/>
      <c r="AA262" s="154"/>
      <c r="AB262" s="154"/>
      <c r="AC262" s="154"/>
      <c r="AD262" s="154"/>
      <c r="AE262" s="154"/>
      <c r="AF262" s="154"/>
      <c r="AG262" s="154"/>
      <c r="AH262" s="154"/>
      <c r="AI262" s="154"/>
      <c r="AJ262" s="154"/>
      <c r="AK262" s="154"/>
      <c r="AL262" s="154"/>
    </row>
    <row r="263" customFormat="false" ht="15" hidden="false" customHeight="false" outlineLevel="0" collapsed="false">
      <c r="A263" s="152" t="s">
        <v>233</v>
      </c>
      <c r="B263" s="154"/>
      <c r="C263" s="154"/>
      <c r="D263" s="154"/>
      <c r="E263" s="154"/>
      <c r="F263" s="154"/>
      <c r="G263" s="154"/>
      <c r="H263" s="154"/>
      <c r="I263" s="154"/>
      <c r="J263" s="154"/>
      <c r="K263" s="154"/>
      <c r="L263" s="154"/>
      <c r="M263" s="154"/>
      <c r="N263" s="154"/>
      <c r="O263" s="154"/>
      <c r="P263" s="154"/>
      <c r="W263" s="152" t="s">
        <v>233</v>
      </c>
      <c r="X263" s="154"/>
      <c r="Y263" s="154"/>
      <c r="Z263" s="154"/>
      <c r="AA263" s="154"/>
      <c r="AB263" s="154"/>
      <c r="AC263" s="154"/>
      <c r="AD263" s="154"/>
      <c r="AE263" s="154"/>
      <c r="AF263" s="154"/>
      <c r="AG263" s="154"/>
      <c r="AH263" s="154"/>
      <c r="AI263" s="154"/>
      <c r="AJ263" s="154"/>
      <c r="AK263" s="154"/>
      <c r="AL263" s="154"/>
    </row>
    <row r="264" customFormat="false" ht="15" hidden="false" customHeight="false" outlineLevel="0" collapsed="false">
      <c r="A264" s="152" t="s">
        <v>186</v>
      </c>
      <c r="B264" s="154"/>
      <c r="C264" s="154"/>
      <c r="D264" s="154"/>
      <c r="E264" s="154"/>
      <c r="F264" s="154"/>
      <c r="G264" s="154"/>
      <c r="H264" s="154"/>
      <c r="I264" s="154"/>
      <c r="J264" s="154"/>
      <c r="K264" s="154"/>
      <c r="L264" s="154"/>
      <c r="M264" s="154"/>
      <c r="N264" s="154"/>
      <c r="O264" s="154"/>
      <c r="P264" s="154"/>
      <c r="W264" s="152" t="s">
        <v>186</v>
      </c>
      <c r="X264" s="154"/>
      <c r="Y264" s="154"/>
      <c r="Z264" s="154"/>
      <c r="AA264" s="154"/>
      <c r="AB264" s="154"/>
      <c r="AC264" s="154"/>
      <c r="AD264" s="154"/>
      <c r="AE264" s="154"/>
      <c r="AF264" s="154"/>
      <c r="AG264" s="154"/>
      <c r="AH264" s="154"/>
      <c r="AI264" s="154"/>
      <c r="AJ264" s="154"/>
      <c r="AK264" s="154"/>
      <c r="AL264" s="154"/>
    </row>
    <row r="265" customFormat="false" ht="15" hidden="false" customHeight="false" outlineLevel="0" collapsed="false">
      <c r="A265" s="152" t="s">
        <v>215</v>
      </c>
      <c r="B265" s="154"/>
      <c r="C265" s="154"/>
      <c r="D265" s="154"/>
      <c r="E265" s="154"/>
      <c r="F265" s="154"/>
      <c r="G265" s="154"/>
      <c r="H265" s="154"/>
      <c r="I265" s="154"/>
      <c r="J265" s="154"/>
      <c r="K265" s="154"/>
      <c r="L265" s="154"/>
      <c r="M265" s="154"/>
      <c r="N265" s="154"/>
      <c r="O265" s="154"/>
      <c r="P265" s="154"/>
      <c r="W265" s="152" t="s">
        <v>215</v>
      </c>
      <c r="X265" s="154"/>
      <c r="Y265" s="154"/>
      <c r="Z265" s="154"/>
      <c r="AA265" s="154"/>
      <c r="AB265" s="154"/>
      <c r="AC265" s="154"/>
      <c r="AD265" s="154"/>
      <c r="AE265" s="154"/>
      <c r="AF265" s="154"/>
      <c r="AG265" s="154"/>
      <c r="AH265" s="154"/>
      <c r="AI265" s="154"/>
      <c r="AJ265" s="154"/>
      <c r="AK265" s="154"/>
      <c r="AL265" s="154"/>
    </row>
    <row r="266" customFormat="false" ht="15" hidden="false" customHeight="false" outlineLevel="0" collapsed="false">
      <c r="A266" s="152" t="s">
        <v>243</v>
      </c>
      <c r="B266" s="154"/>
      <c r="C266" s="154"/>
      <c r="D266" s="154"/>
      <c r="E266" s="154"/>
      <c r="F266" s="154"/>
      <c r="G266" s="154"/>
      <c r="H266" s="154"/>
      <c r="I266" s="154"/>
      <c r="J266" s="154"/>
      <c r="K266" s="154"/>
      <c r="L266" s="154"/>
      <c r="M266" s="154"/>
      <c r="N266" s="154"/>
      <c r="O266" s="154"/>
      <c r="P266" s="154"/>
      <c r="W266" s="152" t="s">
        <v>243</v>
      </c>
      <c r="X266" s="154"/>
      <c r="Y266" s="154"/>
      <c r="Z266" s="154"/>
      <c r="AA266" s="154"/>
      <c r="AB266" s="154"/>
      <c r="AC266" s="154"/>
      <c r="AD266" s="154"/>
      <c r="AE266" s="154"/>
      <c r="AF266" s="154"/>
      <c r="AG266" s="154"/>
      <c r="AH266" s="154"/>
      <c r="AI266" s="154"/>
      <c r="AJ266" s="154"/>
      <c r="AK266" s="154"/>
      <c r="AL266" s="154"/>
    </row>
    <row r="267" customFormat="false" ht="15" hidden="false" customHeight="false" outlineLevel="0" collapsed="false">
      <c r="A267" s="152" t="s">
        <v>195</v>
      </c>
      <c r="B267" s="154"/>
      <c r="C267" s="154"/>
      <c r="D267" s="154"/>
      <c r="E267" s="154"/>
      <c r="F267" s="154"/>
      <c r="G267" s="154"/>
      <c r="H267" s="154"/>
      <c r="I267" s="154"/>
      <c r="J267" s="154"/>
      <c r="K267" s="154"/>
      <c r="L267" s="154"/>
      <c r="M267" s="154"/>
      <c r="N267" s="154"/>
      <c r="O267" s="154"/>
      <c r="P267" s="154"/>
      <c r="W267" s="152" t="s">
        <v>195</v>
      </c>
      <c r="X267" s="154"/>
      <c r="Y267" s="154"/>
      <c r="Z267" s="154"/>
      <c r="AA267" s="154"/>
      <c r="AB267" s="154"/>
      <c r="AC267" s="154"/>
      <c r="AD267" s="154"/>
      <c r="AE267" s="154"/>
      <c r="AF267" s="154"/>
      <c r="AG267" s="154"/>
      <c r="AH267" s="154"/>
      <c r="AI267" s="154"/>
      <c r="AJ267" s="154"/>
      <c r="AK267" s="154"/>
      <c r="AL267" s="154"/>
    </row>
    <row r="268" customFormat="false" ht="15" hidden="false" customHeight="false" outlineLevel="0" collapsed="false">
      <c r="A268" s="152" t="s">
        <v>223</v>
      </c>
      <c r="B268" s="154"/>
      <c r="C268" s="154"/>
      <c r="D268" s="154"/>
      <c r="E268" s="154"/>
      <c r="F268" s="154"/>
      <c r="G268" s="154"/>
      <c r="H268" s="154"/>
      <c r="I268" s="154"/>
      <c r="J268" s="154"/>
      <c r="K268" s="154"/>
      <c r="L268" s="154"/>
      <c r="M268" s="154"/>
      <c r="N268" s="154"/>
      <c r="O268" s="154"/>
      <c r="P268" s="154"/>
      <c r="W268" s="152" t="s">
        <v>223</v>
      </c>
      <c r="X268" s="154"/>
      <c r="Y268" s="154"/>
      <c r="Z268" s="154"/>
      <c r="AA268" s="154"/>
      <c r="AB268" s="154"/>
      <c r="AC268" s="154"/>
      <c r="AD268" s="154"/>
      <c r="AE268" s="154"/>
      <c r="AF268" s="154"/>
      <c r="AG268" s="154"/>
      <c r="AH268" s="154"/>
      <c r="AI268" s="154"/>
      <c r="AJ268" s="154"/>
      <c r="AK268" s="154"/>
      <c r="AL268" s="154"/>
    </row>
    <row r="269" customFormat="false" ht="15" hidden="false" customHeight="false" outlineLevel="0" collapsed="false">
      <c r="A269" s="152" t="s">
        <v>250</v>
      </c>
      <c r="B269" s="154"/>
      <c r="C269" s="154"/>
      <c r="D269" s="153" t="n">
        <v>3.96</v>
      </c>
      <c r="E269" s="154"/>
      <c r="F269" s="154"/>
      <c r="G269" s="153" t="n">
        <v>3.96</v>
      </c>
      <c r="H269" s="154"/>
      <c r="I269" s="154"/>
      <c r="J269" s="154"/>
      <c r="K269" s="154"/>
      <c r="L269" s="154"/>
      <c r="M269" s="154"/>
      <c r="N269" s="154"/>
      <c r="O269" s="154"/>
      <c r="P269" s="153" t="n">
        <v>3.96</v>
      </c>
      <c r="W269" s="152" t="s">
        <v>250</v>
      </c>
      <c r="X269" s="154"/>
      <c r="Y269" s="154"/>
      <c r="Z269" s="154"/>
      <c r="AA269" s="154"/>
      <c r="AB269" s="154"/>
      <c r="AC269" s="154"/>
      <c r="AD269" s="154"/>
      <c r="AE269" s="154"/>
      <c r="AF269" s="154"/>
      <c r="AG269" s="154"/>
      <c r="AH269" s="154"/>
      <c r="AI269" s="154"/>
      <c r="AJ269" s="154"/>
      <c r="AK269" s="154"/>
      <c r="AL269" s="154"/>
    </row>
  </sheetData>
  <mergeCells count="68">
    <mergeCell ref="C1:E3"/>
    <mergeCell ref="C4:E5"/>
    <mergeCell ref="A8:U8"/>
    <mergeCell ref="X8:Y8"/>
    <mergeCell ref="A10:A11"/>
    <mergeCell ref="A12:A13"/>
    <mergeCell ref="A14:A15"/>
    <mergeCell ref="A16:A17"/>
    <mergeCell ref="A18:A19"/>
    <mergeCell ref="A22:R22"/>
    <mergeCell ref="A24:A25"/>
    <mergeCell ref="A26:A27"/>
    <mergeCell ref="A28:A29"/>
    <mergeCell ref="A30:A31"/>
    <mergeCell ref="X31:AB31"/>
    <mergeCell ref="A32:A33"/>
    <mergeCell ref="A36:R36"/>
    <mergeCell ref="A38:A39"/>
    <mergeCell ref="A40:A41"/>
    <mergeCell ref="A42:A43"/>
    <mergeCell ref="A44:A45"/>
    <mergeCell ref="A46:A47"/>
    <mergeCell ref="A50:G50"/>
    <mergeCell ref="A52:A53"/>
    <mergeCell ref="A54:A55"/>
    <mergeCell ref="A56:A57"/>
    <mergeCell ref="A58:A59"/>
    <mergeCell ref="A60:A61"/>
    <mergeCell ref="A65:P65"/>
    <mergeCell ref="R65:T65"/>
    <mergeCell ref="W65:AL65"/>
    <mergeCell ref="AN65:AP65"/>
    <mergeCell ref="A85:P85"/>
    <mergeCell ref="R85:T85"/>
    <mergeCell ref="W85:AL85"/>
    <mergeCell ref="AN85:AP85"/>
    <mergeCell ref="A107:P107"/>
    <mergeCell ref="R107:T107"/>
    <mergeCell ref="W107:AL107"/>
    <mergeCell ref="AN107:AP107"/>
    <mergeCell ref="A127:P127"/>
    <mergeCell ref="R127:T127"/>
    <mergeCell ref="W127:AL127"/>
    <mergeCell ref="AN127:AP127"/>
    <mergeCell ref="A149:P149"/>
    <mergeCell ref="R149:T149"/>
    <mergeCell ref="W149:AL149"/>
    <mergeCell ref="AN149:AP149"/>
    <mergeCell ref="A169:P169"/>
    <mergeCell ref="R169:T169"/>
    <mergeCell ref="W169:AL169"/>
    <mergeCell ref="AN169:AP169"/>
    <mergeCell ref="A191:P191"/>
    <mergeCell ref="R191:T191"/>
    <mergeCell ref="W191:AL191"/>
    <mergeCell ref="AN191:AP191"/>
    <mergeCell ref="A211:P211"/>
    <mergeCell ref="R211:T211"/>
    <mergeCell ref="W211:AL211"/>
    <mergeCell ref="AN211:AP211"/>
    <mergeCell ref="A233:P233"/>
    <mergeCell ref="R233:T233"/>
    <mergeCell ref="W233:AL233"/>
    <mergeCell ref="AN233:AP233"/>
    <mergeCell ref="A253:P253"/>
    <mergeCell ref="R253:T253"/>
    <mergeCell ref="W253:AL253"/>
    <mergeCell ref="AN253:AP25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7"/>
  <sheetViews>
    <sheetView showFormulas="false" showGridLines="true" showRowColHeaders="true" showZeros="true" rightToLeft="false" tabSelected="false" showOutlineSymbols="true" defaultGridColor="true" view="normal" topLeftCell="A1" colorId="64" zoomScale="197" zoomScaleNormal="197" zoomScalePageLayoutView="100" workbookViewId="0">
      <selection pane="topLeft" activeCell="A1" activeCellId="0" sqref="A1"/>
    </sheetView>
  </sheetViews>
  <sheetFormatPr defaultColWidth="8.60546875" defaultRowHeight="15" customHeight="false" zeroHeight="false" outlineLevelRow="0" outlineLevelCol="0"/>
  <sheetData>
    <row r="1" customFormat="false" ht="19.5" hidden="false" customHeight="true" outlineLevel="0" collapsed="false">
      <c r="A1" s="1"/>
      <c r="B1" s="1"/>
      <c r="C1" s="2" t="s">
        <v>1120</v>
      </c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customFormat="false" ht="19.5" hidden="false" customHeight="true" outlineLevel="0" collapsed="false">
      <c r="A2" s="1"/>
      <c r="B2" s="1"/>
      <c r="C2" s="2"/>
      <c r="D2" s="2"/>
      <c r="E2" s="2"/>
      <c r="F2" s="3"/>
      <c r="G2" s="4" t="s">
        <v>1</v>
      </c>
      <c r="H2" s="5" t="s">
        <v>2</v>
      </c>
      <c r="I2" s="3"/>
      <c r="J2" s="3"/>
      <c r="K2" s="3"/>
      <c r="L2" s="3"/>
      <c r="M2" s="3"/>
      <c r="N2" s="3"/>
      <c r="O2" s="3"/>
      <c r="P2" s="3"/>
      <c r="Q2" s="3"/>
      <c r="R2" s="3"/>
    </row>
    <row r="3" customFormat="false" ht="19.5" hidden="false" customHeight="true" outlineLevel="0" collapsed="false">
      <c r="A3" s="1"/>
      <c r="B3" s="1"/>
      <c r="C3" s="2"/>
      <c r="D3" s="2"/>
      <c r="E3" s="2"/>
      <c r="F3" s="3"/>
      <c r="G3" s="4" t="s">
        <v>3</v>
      </c>
      <c r="H3" s="5" t="s">
        <v>4</v>
      </c>
      <c r="I3" s="3"/>
      <c r="J3" s="3"/>
      <c r="K3" s="4" t="s">
        <v>5</v>
      </c>
      <c r="L3" s="6" t="s">
        <v>6</v>
      </c>
      <c r="M3" s="3"/>
      <c r="N3" s="3"/>
      <c r="O3" s="3"/>
      <c r="P3" s="3"/>
      <c r="Q3" s="3"/>
      <c r="R3" s="3"/>
    </row>
    <row r="4" customFormat="false" ht="19.5" hidden="false" customHeight="true" outlineLevel="0" collapsed="false">
      <c r="A4" s="1"/>
      <c r="B4" s="1"/>
      <c r="C4" s="7" t="s">
        <v>7</v>
      </c>
      <c r="D4" s="7"/>
      <c r="E4" s="7"/>
      <c r="F4" s="3"/>
      <c r="G4" s="4" t="s">
        <v>8</v>
      </c>
      <c r="H4" s="5" t="s">
        <v>9</v>
      </c>
      <c r="I4" s="3"/>
      <c r="J4" s="3"/>
      <c r="K4" s="4" t="s">
        <v>10</v>
      </c>
      <c r="L4" s="6" t="s">
        <v>11</v>
      </c>
      <c r="M4" s="3"/>
      <c r="N4" s="3"/>
      <c r="O4" s="3"/>
      <c r="P4" s="3"/>
      <c r="Q4" s="3"/>
      <c r="R4" s="3"/>
    </row>
    <row r="5" customFormat="false" ht="19.5" hidden="false" customHeight="true" outlineLevel="0" collapsed="false">
      <c r="A5" s="8"/>
      <c r="B5" s="8"/>
      <c r="C5" s="7"/>
      <c r="D5" s="7"/>
      <c r="E5" s="7"/>
      <c r="F5" s="9"/>
      <c r="G5" s="10" t="s">
        <v>12</v>
      </c>
      <c r="H5" s="11" t="s">
        <v>13</v>
      </c>
      <c r="I5" s="9"/>
      <c r="J5" s="9"/>
      <c r="K5" s="10" t="s">
        <v>14</v>
      </c>
      <c r="L5" s="12" t="s">
        <v>15</v>
      </c>
      <c r="M5" s="9"/>
      <c r="N5" s="9"/>
      <c r="O5" s="9"/>
      <c r="P5" s="9"/>
      <c r="Q5" s="9"/>
      <c r="R5" s="9"/>
    </row>
    <row r="7" customFormat="false" ht="15" hidden="false" customHeight="false" outlineLevel="0" collapsed="false">
      <c r="A7" s="148" t="s">
        <v>1121</v>
      </c>
      <c r="B7" s="148"/>
      <c r="C7" s="148"/>
      <c r="D7" s="148"/>
    </row>
    <row r="8" customFormat="false" ht="15" hidden="false" customHeight="false" outlineLevel="0" collapsed="false">
      <c r="A8" s="173" t="s">
        <v>1122</v>
      </c>
      <c r="B8" s="173" t="s">
        <v>1123</v>
      </c>
      <c r="C8" s="173" t="s">
        <v>1124</v>
      </c>
      <c r="D8" s="173" t="s">
        <v>1125</v>
      </c>
    </row>
    <row r="9" customFormat="false" ht="15" hidden="false" customHeight="false" outlineLevel="0" collapsed="false">
      <c r="A9" s="174" t="s">
        <v>1126</v>
      </c>
      <c r="B9" s="175" t="n">
        <v>15.3759</v>
      </c>
      <c r="C9" s="175" t="n">
        <v>85.97</v>
      </c>
      <c r="D9" s="175" t="n">
        <v>85.97</v>
      </c>
    </row>
    <row r="10" customFormat="false" ht="15" hidden="false" customHeight="false" outlineLevel="0" collapsed="false">
      <c r="A10" s="174" t="s">
        <v>1127</v>
      </c>
      <c r="B10" s="175" t="n">
        <v>5.3318</v>
      </c>
      <c r="C10" s="175" t="n">
        <v>10.34</v>
      </c>
      <c r="D10" s="175" t="n">
        <v>96.31</v>
      </c>
    </row>
    <row r="11" customFormat="false" ht="15" hidden="false" customHeight="false" outlineLevel="0" collapsed="false">
      <c r="A11" s="174" t="s">
        <v>1128</v>
      </c>
      <c r="B11" s="175" t="n">
        <v>2.5076</v>
      </c>
      <c r="C11" s="175" t="n">
        <v>2.29</v>
      </c>
      <c r="D11" s="175" t="n">
        <v>98.59</v>
      </c>
    </row>
    <row r="12" customFormat="false" ht="15" hidden="false" customHeight="false" outlineLevel="0" collapsed="false">
      <c r="A12" s="174" t="s">
        <v>1129</v>
      </c>
      <c r="B12" s="175" t="n">
        <v>1.7002</v>
      </c>
      <c r="C12" s="175" t="n">
        <v>1.05</v>
      </c>
      <c r="D12" s="175" t="n">
        <v>99.65</v>
      </c>
    </row>
    <row r="13" customFormat="false" ht="15" hidden="false" customHeight="false" outlineLevel="0" collapsed="false">
      <c r="A13" s="174" t="s">
        <v>1130</v>
      </c>
      <c r="B13" s="175" t="n">
        <v>0.9871</v>
      </c>
      <c r="C13" s="175" t="n">
        <v>0.35</v>
      </c>
      <c r="D13" s="175" t="n">
        <v>100</v>
      </c>
    </row>
    <row r="16" customFormat="false" ht="15" hidden="false" customHeight="false" outlineLevel="0" collapsed="false">
      <c r="A16" s="148" t="s">
        <v>1131</v>
      </c>
      <c r="B16" s="148"/>
      <c r="C16" s="148"/>
      <c r="D16" s="148"/>
    </row>
    <row r="17" customFormat="false" ht="15" hidden="false" customHeight="false" outlineLevel="0" collapsed="false">
      <c r="A17" s="174" t="s">
        <v>1132</v>
      </c>
      <c r="B17" s="175" t="n">
        <v>15.3759</v>
      </c>
      <c r="C17" s="174" t="s">
        <v>1133</v>
      </c>
      <c r="D17" s="175" t="n">
        <v>10.0441</v>
      </c>
    </row>
    <row r="18" customFormat="false" ht="15" hidden="false" customHeight="false" outlineLevel="0" collapsed="false">
      <c r="A18" s="174" t="s">
        <v>1134</v>
      </c>
      <c r="B18" s="175" t="n">
        <v>25.9026</v>
      </c>
      <c r="C18" s="174" t="s">
        <v>1135</v>
      </c>
      <c r="D18" s="176" t="n">
        <v>1</v>
      </c>
    </row>
    <row r="21" customFormat="false" ht="15" hidden="false" customHeight="false" outlineLevel="0" collapsed="false">
      <c r="A21" s="148" t="s">
        <v>1136</v>
      </c>
      <c r="B21" s="148"/>
      <c r="C21" s="148"/>
      <c r="D21" s="148"/>
      <c r="E21" s="148"/>
    </row>
    <row r="22" customFormat="false" ht="15" hidden="false" customHeight="false" outlineLevel="0" collapsed="false">
      <c r="A22" s="173" t="s">
        <v>724</v>
      </c>
      <c r="B22" s="173" t="s">
        <v>1137</v>
      </c>
      <c r="C22" s="173" t="s">
        <v>1138</v>
      </c>
      <c r="D22" s="173" t="s">
        <v>1139</v>
      </c>
      <c r="E22" s="173" t="s">
        <v>1140</v>
      </c>
    </row>
    <row r="23" customFormat="false" ht="15" hidden="false" customHeight="false" outlineLevel="0" collapsed="false">
      <c r="A23" s="174" t="s">
        <v>65</v>
      </c>
      <c r="B23" s="175" t="n">
        <v>-6.7959</v>
      </c>
      <c r="C23" s="175" t="n">
        <v>2.6286</v>
      </c>
      <c r="D23" s="175" t="n">
        <v>0.8553</v>
      </c>
      <c r="E23" s="175" t="n">
        <v>1</v>
      </c>
    </row>
    <row r="24" customFormat="false" ht="15" hidden="false" customHeight="false" outlineLevel="0" collapsed="false">
      <c r="A24" s="174" t="s">
        <v>71</v>
      </c>
      <c r="B24" s="175" t="n">
        <v>-7.0258</v>
      </c>
      <c r="C24" s="175" t="n">
        <v>1.7924</v>
      </c>
      <c r="D24" s="175" t="n">
        <v>-1.4431</v>
      </c>
      <c r="E24" s="175" t="n">
        <v>1</v>
      </c>
    </row>
    <row r="25" customFormat="false" ht="15" hidden="false" customHeight="false" outlineLevel="0" collapsed="false">
      <c r="A25" s="174" t="s">
        <v>74</v>
      </c>
      <c r="B25" s="175" t="n">
        <v>-7.1989</v>
      </c>
      <c r="C25" s="175" t="n">
        <v>1.1463</v>
      </c>
      <c r="D25" s="175" t="n">
        <v>0.3455</v>
      </c>
      <c r="E25" s="175" t="n">
        <v>1</v>
      </c>
    </row>
    <row r="26" customFormat="false" ht="15" hidden="false" customHeight="false" outlineLevel="0" collapsed="false">
      <c r="A26" s="174" t="s">
        <v>75</v>
      </c>
      <c r="B26" s="175" t="n">
        <v>-6.7619</v>
      </c>
      <c r="C26" s="175" t="n">
        <v>-2.6552</v>
      </c>
      <c r="D26" s="175" t="n">
        <v>1.41</v>
      </c>
      <c r="E26" s="175" t="n">
        <v>1</v>
      </c>
    </row>
    <row r="27" customFormat="false" ht="15" hidden="false" customHeight="false" outlineLevel="0" collapsed="false">
      <c r="A27" s="174" t="s">
        <v>70</v>
      </c>
      <c r="B27" s="175" t="n">
        <v>-6.5822</v>
      </c>
      <c r="C27" s="175" t="n">
        <v>-3.153</v>
      </c>
      <c r="D27" s="175" t="n">
        <v>-1.169</v>
      </c>
      <c r="E27" s="175" t="n">
        <v>1</v>
      </c>
    </row>
    <row r="31" customFormat="false" ht="15" hidden="false" customHeight="false" outlineLevel="0" collapsed="false">
      <c r="A31" s="148" t="s">
        <v>1141</v>
      </c>
      <c r="B31" s="148"/>
      <c r="C31" s="148"/>
      <c r="D31" s="148"/>
      <c r="E31" s="148"/>
      <c r="F31" s="148"/>
      <c r="G31" s="148"/>
    </row>
    <row r="32" customFormat="false" ht="15" hidden="false" customHeight="false" outlineLevel="0" collapsed="false">
      <c r="A32" s="173" t="s">
        <v>1142</v>
      </c>
      <c r="B32" s="173" t="s">
        <v>1143</v>
      </c>
      <c r="C32" s="173" t="s">
        <v>1144</v>
      </c>
      <c r="D32" s="173" t="s">
        <v>1145</v>
      </c>
      <c r="E32" s="173" t="s">
        <v>1146</v>
      </c>
      <c r="F32" s="173" t="s">
        <v>1147</v>
      </c>
      <c r="G32" s="173" t="s">
        <v>1148</v>
      </c>
    </row>
    <row r="33" customFormat="false" ht="15" hidden="false" customHeight="false" outlineLevel="0" collapsed="false">
      <c r="A33" s="174" t="s">
        <v>65</v>
      </c>
      <c r="B33" s="175" t="n">
        <v>3</v>
      </c>
      <c r="C33" s="175" t="n">
        <v>0.995959313953112</v>
      </c>
      <c r="D33" s="175" t="n">
        <v>0.0898055953159171</v>
      </c>
      <c r="E33" s="175" t="n">
        <v>8.27118232955024</v>
      </c>
      <c r="F33" s="175" t="n">
        <v>3</v>
      </c>
      <c r="G33" s="176" t="s">
        <v>1149</v>
      </c>
    </row>
    <row r="34" customFormat="false" ht="15" hidden="false" customHeight="false" outlineLevel="0" collapsed="false">
      <c r="A34" s="174" t="s">
        <v>71</v>
      </c>
      <c r="B34" s="175" t="n">
        <v>3</v>
      </c>
      <c r="C34" s="175" t="n">
        <v>0.949995913649086</v>
      </c>
      <c r="D34" s="175" t="n">
        <v>0.312262332102413</v>
      </c>
      <c r="E34" s="175" t="n">
        <v>24.7383871845103</v>
      </c>
      <c r="F34" s="175" t="n">
        <v>3</v>
      </c>
      <c r="G34" s="176" t="s">
        <v>1149</v>
      </c>
    </row>
    <row r="35" customFormat="false" ht="15" hidden="false" customHeight="false" outlineLevel="0" collapsed="false">
      <c r="A35" s="174" t="s">
        <v>74</v>
      </c>
      <c r="B35" s="175" t="n">
        <v>1.8</v>
      </c>
      <c r="C35" s="175" t="n">
        <v>0.429792228349927</v>
      </c>
      <c r="D35" s="175" t="n">
        <v>0.308672383685363</v>
      </c>
      <c r="E35" s="175" t="n">
        <v>41.799211316928</v>
      </c>
      <c r="F35" s="175" t="n">
        <v>1.8</v>
      </c>
      <c r="G35" s="176" t="s">
        <v>1150</v>
      </c>
    </row>
    <row r="36" customFormat="false" ht="15" hidden="false" customHeight="false" outlineLevel="0" collapsed="false">
      <c r="A36" s="174" t="s">
        <v>75</v>
      </c>
      <c r="B36" s="175" t="n">
        <v>3.8</v>
      </c>
      <c r="C36" s="175" t="n">
        <v>0.620259106785218</v>
      </c>
      <c r="D36" s="175" t="n">
        <v>0.543395473343314</v>
      </c>
      <c r="E36" s="175" t="n">
        <v>46.6973174533712</v>
      </c>
      <c r="F36" s="175" t="n">
        <v>3.8</v>
      </c>
      <c r="G36" s="176" t="s">
        <v>1150</v>
      </c>
    </row>
    <row r="37" customFormat="false" ht="15" hidden="false" customHeight="false" outlineLevel="0" collapsed="false">
      <c r="A37" s="174" t="s">
        <v>70</v>
      </c>
      <c r="B37" s="175" t="n">
        <v>3.4</v>
      </c>
      <c r="C37" s="175" t="n">
        <v>0.87923234520232</v>
      </c>
      <c r="D37" s="175" t="n">
        <v>0.383341209824915</v>
      </c>
      <c r="E37" s="175" t="n">
        <v>30.3618912576263</v>
      </c>
      <c r="F37" s="175" t="n">
        <v>3.4</v>
      </c>
      <c r="G37" s="176" t="s">
        <v>1149</v>
      </c>
    </row>
  </sheetData>
  <mergeCells count="6">
    <mergeCell ref="C1:E3"/>
    <mergeCell ref="C4:E5"/>
    <mergeCell ref="A7:D7"/>
    <mergeCell ref="A16:D16"/>
    <mergeCell ref="A21:E21"/>
    <mergeCell ref="A31:G3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50"/>
  <sheetViews>
    <sheetView showFormulas="false" showGridLines="true" showRowColHeaders="true" showZeros="true" rightToLeft="false" tabSelected="false" showOutlineSymbols="true" defaultGridColor="true" view="normal" topLeftCell="A1" colorId="64" zoomScale="197" zoomScaleNormal="197" zoomScalePageLayoutView="100" workbookViewId="0">
      <selection pane="topLeft" activeCell="A1" activeCellId="0" sqref="A1"/>
    </sheetView>
  </sheetViews>
  <sheetFormatPr defaultColWidth="8.60546875" defaultRowHeight="15" customHeight="false" zeroHeight="false" outlineLevelRow="0" outlineLevelCol="0"/>
  <cols>
    <col collapsed="false" customWidth="true" hidden="false" outlineLevel="0" max="1" min="1" style="0" width="15.71"/>
    <col collapsed="false" customWidth="true" hidden="false" outlineLevel="0" max="4" min="2" style="0" width="18.71"/>
    <col collapsed="false" customWidth="true" hidden="false" outlineLevel="0" max="5" min="5" style="0" width="15.71"/>
    <col collapsed="false" customWidth="true" hidden="false" outlineLevel="0" max="6" min="6" style="0" width="20.71"/>
  </cols>
  <sheetData>
    <row r="1" customFormat="false" ht="19.5" hidden="false" customHeight="true" outlineLevel="0" collapsed="false">
      <c r="A1" s="1"/>
      <c r="B1" s="1"/>
      <c r="C1" s="2" t="s">
        <v>1151</v>
      </c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customFormat="false" ht="19.5" hidden="false" customHeight="true" outlineLevel="0" collapsed="false">
      <c r="A2" s="1"/>
      <c r="B2" s="1"/>
      <c r="C2" s="2"/>
      <c r="D2" s="2"/>
      <c r="E2" s="2"/>
      <c r="F2" s="3"/>
      <c r="G2" s="4" t="s">
        <v>1</v>
      </c>
      <c r="H2" s="5" t="s">
        <v>2</v>
      </c>
      <c r="I2" s="3"/>
      <c r="J2" s="3"/>
      <c r="K2" s="3"/>
      <c r="L2" s="3"/>
      <c r="M2" s="3"/>
      <c r="N2" s="3"/>
      <c r="O2" s="3"/>
      <c r="P2" s="3"/>
      <c r="Q2" s="3"/>
      <c r="R2" s="3"/>
    </row>
    <row r="3" customFormat="false" ht="19.5" hidden="false" customHeight="true" outlineLevel="0" collapsed="false">
      <c r="A3" s="1"/>
      <c r="B3" s="1"/>
      <c r="C3" s="2"/>
      <c r="D3" s="2"/>
      <c r="E3" s="2"/>
      <c r="F3" s="3"/>
      <c r="G3" s="4" t="s">
        <v>3</v>
      </c>
      <c r="H3" s="5" t="s">
        <v>4</v>
      </c>
      <c r="I3" s="3"/>
      <c r="J3" s="3"/>
      <c r="K3" s="4" t="s">
        <v>5</v>
      </c>
      <c r="L3" s="6" t="s">
        <v>6</v>
      </c>
      <c r="M3" s="3"/>
      <c r="N3" s="3"/>
      <c r="O3" s="3"/>
      <c r="P3" s="3"/>
      <c r="Q3" s="3"/>
      <c r="R3" s="3"/>
    </row>
    <row r="4" customFormat="false" ht="19.5" hidden="false" customHeight="true" outlineLevel="0" collapsed="false">
      <c r="A4" s="1"/>
      <c r="B4" s="1"/>
      <c r="C4" s="7" t="s">
        <v>7</v>
      </c>
      <c r="D4" s="7"/>
      <c r="E4" s="7"/>
      <c r="F4" s="3"/>
      <c r="G4" s="4" t="s">
        <v>8</v>
      </c>
      <c r="H4" s="5" t="s">
        <v>9</v>
      </c>
      <c r="I4" s="3"/>
      <c r="J4" s="3"/>
      <c r="K4" s="4" t="s">
        <v>10</v>
      </c>
      <c r="L4" s="6" t="s">
        <v>11</v>
      </c>
      <c r="M4" s="3"/>
      <c r="N4" s="3"/>
      <c r="O4" s="3"/>
      <c r="P4" s="3"/>
      <c r="Q4" s="3"/>
      <c r="R4" s="3"/>
    </row>
    <row r="5" customFormat="false" ht="19.5" hidden="false" customHeight="true" outlineLevel="0" collapsed="false">
      <c r="A5" s="8"/>
      <c r="B5" s="8"/>
      <c r="C5" s="7"/>
      <c r="D5" s="7"/>
      <c r="E5" s="7"/>
      <c r="F5" s="9"/>
      <c r="G5" s="10" t="s">
        <v>12</v>
      </c>
      <c r="H5" s="11" t="s">
        <v>13</v>
      </c>
      <c r="I5" s="9"/>
      <c r="J5" s="9"/>
      <c r="K5" s="10" t="s">
        <v>14</v>
      </c>
      <c r="L5" s="12" t="s">
        <v>15</v>
      </c>
      <c r="M5" s="9"/>
      <c r="N5" s="9"/>
      <c r="O5" s="9"/>
      <c r="P5" s="9"/>
      <c r="Q5" s="9"/>
      <c r="R5" s="9"/>
    </row>
    <row r="7" customFormat="false" ht="15" hidden="false" customHeight="false" outlineLevel="0" collapsed="false">
      <c r="A7" s="163" t="s">
        <v>1152</v>
      </c>
      <c r="B7" s="163"/>
      <c r="C7" s="163"/>
    </row>
    <row r="8" customFormat="false" ht="15" hidden="false" customHeight="false" outlineLevel="0" collapsed="false">
      <c r="A8" s="164" t="s">
        <v>724</v>
      </c>
      <c r="B8" s="164" t="s">
        <v>1153</v>
      </c>
      <c r="C8" s="164" t="s">
        <v>1154</v>
      </c>
    </row>
    <row r="9" customFormat="false" ht="15" hidden="false" customHeight="false" outlineLevel="0" collapsed="false">
      <c r="A9" s="177" t="s">
        <v>74</v>
      </c>
      <c r="B9" s="178" t="n">
        <v>26.4596912255537</v>
      </c>
      <c r="C9" s="179" t="n">
        <v>1</v>
      </c>
    </row>
    <row r="10" customFormat="false" ht="15" hidden="false" customHeight="false" outlineLevel="0" collapsed="false">
      <c r="A10" s="177" t="s">
        <v>65</v>
      </c>
      <c r="B10" s="178" t="n">
        <v>20.7290607773915</v>
      </c>
      <c r="C10" s="179" t="n">
        <v>2</v>
      </c>
    </row>
    <row r="11" customFormat="false" ht="15" hidden="false" customHeight="false" outlineLevel="0" collapsed="false">
      <c r="A11" s="177" t="s">
        <v>71</v>
      </c>
      <c r="B11" s="178" t="n">
        <v>20.4273660129975</v>
      </c>
      <c r="C11" s="179" t="n">
        <v>3</v>
      </c>
    </row>
    <row r="12" customFormat="false" ht="15" hidden="false" customHeight="false" outlineLevel="0" collapsed="false">
      <c r="A12" s="177" t="s">
        <v>70</v>
      </c>
      <c r="B12" s="178" t="n">
        <v>17.7401123813291</v>
      </c>
      <c r="C12" s="179" t="n">
        <v>4</v>
      </c>
    </row>
    <row r="13" customFormat="false" ht="15" hidden="false" customHeight="false" outlineLevel="0" collapsed="false">
      <c r="A13" s="177" t="s">
        <v>75</v>
      </c>
      <c r="B13" s="178" t="n">
        <v>14.6437696027282</v>
      </c>
      <c r="C13" s="179" t="n">
        <v>5</v>
      </c>
    </row>
    <row r="16" customFormat="false" ht="15" hidden="false" customHeight="false" outlineLevel="0" collapsed="false">
      <c r="A16" s="163" t="s">
        <v>1155</v>
      </c>
      <c r="B16" s="163"/>
      <c r="C16" s="163"/>
      <c r="E16" s="163" t="s">
        <v>1156</v>
      </c>
      <c r="F16" s="163"/>
      <c r="G16" s="163"/>
    </row>
    <row r="17" customFormat="false" ht="15" hidden="false" customHeight="true" outlineLevel="0" collapsed="false">
      <c r="E17" s="180" t="s">
        <v>1157</v>
      </c>
      <c r="F17" s="180"/>
      <c r="G17" s="180"/>
    </row>
    <row r="18" customFormat="false" ht="15" hidden="false" customHeight="false" outlineLevel="0" collapsed="false">
      <c r="E18" s="180"/>
      <c r="F18" s="180"/>
      <c r="G18" s="180"/>
    </row>
    <row r="19" customFormat="false" ht="15" hidden="false" customHeight="false" outlineLevel="0" collapsed="false">
      <c r="E19" s="180"/>
      <c r="F19" s="180"/>
      <c r="G19" s="180"/>
    </row>
    <row r="20" customFormat="false" ht="15" hidden="false" customHeight="false" outlineLevel="0" collapsed="false">
      <c r="E20" s="180"/>
      <c r="F20" s="180"/>
      <c r="G20" s="180"/>
    </row>
    <row r="21" customFormat="false" ht="15" hidden="false" customHeight="false" outlineLevel="0" collapsed="false">
      <c r="E21" s="180"/>
      <c r="F21" s="180"/>
      <c r="G21" s="180"/>
    </row>
    <row r="22" customFormat="false" ht="15" hidden="false" customHeight="false" outlineLevel="0" collapsed="false">
      <c r="E22" s="180"/>
      <c r="F22" s="180"/>
      <c r="G22" s="180"/>
    </row>
    <row r="44" customFormat="false" ht="15" hidden="false" customHeight="false" outlineLevel="0" collapsed="false">
      <c r="E44" s="163" t="s">
        <v>1158</v>
      </c>
      <c r="F44" s="163"/>
      <c r="G44" s="163"/>
    </row>
    <row r="45" customFormat="false" ht="15" hidden="false" customHeight="true" outlineLevel="0" collapsed="false">
      <c r="E45" s="180" t="s">
        <v>1159</v>
      </c>
      <c r="F45" s="180"/>
      <c r="G45" s="180"/>
    </row>
    <row r="46" customFormat="false" ht="15" hidden="false" customHeight="false" outlineLevel="0" collapsed="false">
      <c r="E46" s="180"/>
      <c r="F46" s="180"/>
      <c r="G46" s="180"/>
    </row>
    <row r="47" customFormat="false" ht="15" hidden="false" customHeight="false" outlineLevel="0" collapsed="false">
      <c r="E47" s="180"/>
      <c r="F47" s="180"/>
      <c r="G47" s="180"/>
    </row>
    <row r="48" customFormat="false" ht="15" hidden="false" customHeight="false" outlineLevel="0" collapsed="false">
      <c r="E48" s="180"/>
      <c r="F48" s="180"/>
      <c r="G48" s="180"/>
    </row>
    <row r="49" customFormat="false" ht="15" hidden="false" customHeight="false" outlineLevel="0" collapsed="false">
      <c r="E49" s="180"/>
      <c r="F49" s="180"/>
      <c r="G49" s="180"/>
    </row>
    <row r="50" customFormat="false" ht="15" hidden="false" customHeight="false" outlineLevel="0" collapsed="false">
      <c r="E50" s="180"/>
      <c r="F50" s="180"/>
      <c r="G50" s="180"/>
    </row>
  </sheetData>
  <mergeCells count="8">
    <mergeCell ref="C1:E3"/>
    <mergeCell ref="C4:E5"/>
    <mergeCell ref="A7:C7"/>
    <mergeCell ref="A16:C16"/>
    <mergeCell ref="E16:G16"/>
    <mergeCell ref="E17:G22"/>
    <mergeCell ref="E44:G44"/>
    <mergeCell ref="E45:G5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4"/>
  <sheetViews>
    <sheetView showFormulas="false" showGridLines="true" showRowColHeaders="true" showZeros="true" rightToLeft="false" tabSelected="false" showOutlineSymbols="true" defaultGridColor="true" view="normal" topLeftCell="A1" colorId="64" zoomScale="197" zoomScaleNormal="197" zoomScalePageLayoutView="100" workbookViewId="0">
      <selection pane="topLeft" activeCell="A1" activeCellId="0" sqref="A1"/>
    </sheetView>
  </sheetViews>
  <sheetFormatPr defaultColWidth="8.60546875" defaultRowHeight="15" customHeight="false" zeroHeight="false" outlineLevelRow="0" outlineLevelCol="0"/>
  <cols>
    <col collapsed="false" customWidth="true" hidden="false" outlineLevel="0" max="11" min="1" style="0" width="8.71"/>
  </cols>
  <sheetData>
    <row r="1" customFormat="false" ht="19.5" hidden="false" customHeight="true" outlineLevel="0" collapsed="false">
      <c r="A1" s="1"/>
      <c r="B1" s="1"/>
      <c r="C1" s="2" t="s">
        <v>1160</v>
      </c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customFormat="false" ht="19.5" hidden="false" customHeight="true" outlineLevel="0" collapsed="false">
      <c r="A2" s="1"/>
      <c r="B2" s="1"/>
      <c r="C2" s="2"/>
      <c r="D2" s="2"/>
      <c r="E2" s="2"/>
      <c r="F2" s="3"/>
      <c r="G2" s="4" t="s">
        <v>1</v>
      </c>
      <c r="H2" s="5" t="s">
        <v>2</v>
      </c>
      <c r="I2" s="3"/>
      <c r="J2" s="3"/>
      <c r="K2" s="3"/>
      <c r="L2" s="3"/>
      <c r="M2" s="3"/>
      <c r="N2" s="3"/>
      <c r="O2" s="3"/>
      <c r="P2" s="3"/>
      <c r="Q2" s="3"/>
      <c r="R2" s="3"/>
    </row>
    <row r="3" customFormat="false" ht="19.5" hidden="false" customHeight="true" outlineLevel="0" collapsed="false">
      <c r="A3" s="1"/>
      <c r="B3" s="1"/>
      <c r="C3" s="2"/>
      <c r="D3" s="2"/>
      <c r="E3" s="2"/>
      <c r="F3" s="3"/>
      <c r="G3" s="4" t="s">
        <v>3</v>
      </c>
      <c r="H3" s="5" t="s">
        <v>4</v>
      </c>
      <c r="I3" s="3"/>
      <c r="J3" s="3"/>
      <c r="K3" s="4" t="s">
        <v>5</v>
      </c>
      <c r="L3" s="6" t="s">
        <v>6</v>
      </c>
      <c r="M3" s="3"/>
      <c r="N3" s="3"/>
      <c r="O3" s="3"/>
      <c r="P3" s="3"/>
      <c r="Q3" s="3"/>
      <c r="R3" s="3"/>
    </row>
    <row r="4" customFormat="false" ht="19.5" hidden="false" customHeight="true" outlineLevel="0" collapsed="false">
      <c r="A4" s="1"/>
      <c r="B4" s="1"/>
      <c r="C4" s="7" t="s">
        <v>7</v>
      </c>
      <c r="D4" s="7"/>
      <c r="E4" s="7"/>
      <c r="F4" s="3"/>
      <c r="G4" s="4" t="s">
        <v>8</v>
      </c>
      <c r="H4" s="5" t="s">
        <v>9</v>
      </c>
      <c r="I4" s="3"/>
      <c r="J4" s="3"/>
      <c r="K4" s="4" t="s">
        <v>10</v>
      </c>
      <c r="L4" s="6" t="s">
        <v>11</v>
      </c>
      <c r="M4" s="3"/>
      <c r="N4" s="3"/>
      <c r="O4" s="3"/>
      <c r="P4" s="3"/>
      <c r="Q4" s="3"/>
      <c r="R4" s="3"/>
    </row>
    <row r="5" customFormat="false" ht="19.5" hidden="false" customHeight="true" outlineLevel="0" collapsed="false">
      <c r="A5" s="8"/>
      <c r="B5" s="8"/>
      <c r="C5" s="7"/>
      <c r="D5" s="7"/>
      <c r="E5" s="7"/>
      <c r="F5" s="9"/>
      <c r="G5" s="10" t="s">
        <v>12</v>
      </c>
      <c r="H5" s="11" t="s">
        <v>13</v>
      </c>
      <c r="I5" s="9"/>
      <c r="J5" s="9"/>
      <c r="K5" s="10" t="s">
        <v>14</v>
      </c>
      <c r="L5" s="12" t="s">
        <v>15</v>
      </c>
      <c r="M5" s="9"/>
      <c r="N5" s="9"/>
      <c r="O5" s="9"/>
      <c r="P5" s="9"/>
      <c r="Q5" s="9"/>
      <c r="R5" s="9"/>
    </row>
    <row r="7" customFormat="false" ht="15" hidden="false" customHeight="false" outlineLevel="0" collapsed="false">
      <c r="A7" s="163" t="s">
        <v>1161</v>
      </c>
      <c r="B7" s="163"/>
      <c r="C7" s="163"/>
      <c r="D7" s="163"/>
      <c r="E7" s="163"/>
      <c r="F7" s="163"/>
    </row>
    <row r="9" customFormat="false" ht="15" hidden="false" customHeight="false" outlineLevel="0" collapsed="false">
      <c r="B9" s="181" t="n">
        <v>1</v>
      </c>
      <c r="C9" s="181" t="n">
        <v>2</v>
      </c>
      <c r="D9" s="181" t="n">
        <v>3</v>
      </c>
      <c r="E9" s="181" t="n">
        <v>4</v>
      </c>
      <c r="F9" s="181" t="n">
        <v>5</v>
      </c>
    </row>
    <row r="10" customFormat="false" ht="15" hidden="false" customHeight="false" outlineLevel="0" collapsed="false">
      <c r="A10" s="181" t="n">
        <v>1</v>
      </c>
      <c r="B10" s="182"/>
      <c r="C10" s="178" t="n">
        <v>0.574349177498518</v>
      </c>
      <c r="D10" s="178" t="n">
        <v>0.415243646538506</v>
      </c>
      <c r="E10" s="178" t="n">
        <v>0.329876977693224</v>
      </c>
      <c r="F10" s="178" t="n">
        <v>0.275945932292243</v>
      </c>
    </row>
    <row r="11" customFormat="false" ht="15" hidden="false" customHeight="false" outlineLevel="0" collapsed="false">
      <c r="A11" s="181" t="n">
        <v>2</v>
      </c>
      <c r="B11" s="178" t="n">
        <v>0.415243646538506</v>
      </c>
      <c r="C11" s="182"/>
      <c r="D11" s="178" t="n">
        <v>0.574349177498518</v>
      </c>
      <c r="E11" s="178" t="n">
        <v>0.275945932292243</v>
      </c>
      <c r="F11" s="178" t="n">
        <v>0.329876977693224</v>
      </c>
    </row>
    <row r="12" customFormat="false" ht="15" hidden="false" customHeight="false" outlineLevel="0" collapsed="false">
      <c r="A12" s="181" t="n">
        <v>3</v>
      </c>
      <c r="B12" s="178" t="n">
        <v>0.574349177498518</v>
      </c>
      <c r="C12" s="178" t="n">
        <v>0.415243646538506</v>
      </c>
      <c r="D12" s="182"/>
      <c r="E12" s="178" t="n">
        <v>0.275945932292243</v>
      </c>
      <c r="F12" s="178" t="n">
        <v>0.329876977693224</v>
      </c>
    </row>
    <row r="13" customFormat="false" ht="15" hidden="false" customHeight="false" outlineLevel="0" collapsed="false">
      <c r="A13" s="181" t="n">
        <v>4</v>
      </c>
      <c r="B13" s="178" t="n">
        <v>0.329876977693224</v>
      </c>
      <c r="C13" s="178" t="n">
        <v>0.275945932292243</v>
      </c>
      <c r="D13" s="178" t="n">
        <v>1</v>
      </c>
      <c r="E13" s="182"/>
      <c r="F13" s="178" t="n">
        <v>0.415243646538506</v>
      </c>
    </row>
    <row r="14" customFormat="false" ht="15" hidden="false" customHeight="false" outlineLevel="0" collapsed="false">
      <c r="A14" s="181" t="n">
        <v>5</v>
      </c>
      <c r="B14" s="178" t="n">
        <v>0.275945932292243</v>
      </c>
      <c r="C14" s="178" t="n">
        <v>0.329876977693224</v>
      </c>
      <c r="D14" s="178" t="n">
        <v>0.574349177498518</v>
      </c>
      <c r="E14" s="178" t="n">
        <v>0.415243646538506</v>
      </c>
      <c r="F14" s="182"/>
    </row>
    <row r="17" customFormat="false" ht="15" hidden="false" customHeight="false" outlineLevel="0" collapsed="false">
      <c r="A17" s="163" t="s">
        <v>1162</v>
      </c>
      <c r="B17" s="163"/>
      <c r="C17" s="163"/>
      <c r="D17" s="163"/>
      <c r="E17" s="163"/>
      <c r="F17" s="163"/>
      <c r="G17" s="163"/>
      <c r="H17" s="163" t="s">
        <v>1163</v>
      </c>
      <c r="I17" s="163"/>
      <c r="J17" s="163"/>
      <c r="K17" s="163"/>
      <c r="L17" s="163"/>
      <c r="M17" s="163"/>
    </row>
    <row r="19" customFormat="false" ht="15" hidden="false" customHeight="false" outlineLevel="0" collapsed="false">
      <c r="A19" s="181" t="s">
        <v>881</v>
      </c>
      <c r="B19" s="181" t="s">
        <v>877</v>
      </c>
      <c r="C19" s="181"/>
      <c r="D19" s="181"/>
      <c r="E19" s="181" t="s">
        <v>1164</v>
      </c>
      <c r="F19" s="181"/>
      <c r="G19" s="181"/>
      <c r="H19" s="181" t="s">
        <v>1165</v>
      </c>
      <c r="I19" s="181" t="s">
        <v>1166</v>
      </c>
      <c r="J19" s="181"/>
      <c r="K19" s="181" t="s">
        <v>1167</v>
      </c>
      <c r="L19" s="181"/>
      <c r="M19" s="181" t="s">
        <v>1168</v>
      </c>
    </row>
    <row r="20" customFormat="false" ht="15" hidden="false" customHeight="false" outlineLevel="0" collapsed="false">
      <c r="A20" s="181" t="n">
        <v>1</v>
      </c>
      <c r="B20" s="34" t="s">
        <v>74</v>
      </c>
      <c r="C20" s="34"/>
      <c r="D20" s="34"/>
      <c r="E20" s="178" t="n">
        <v>0.2645971428008</v>
      </c>
      <c r="F20" s="178"/>
      <c r="G20" s="178"/>
      <c r="H20" s="181" t="n">
        <v>1</v>
      </c>
      <c r="I20" s="183" t="s">
        <v>75</v>
      </c>
      <c r="J20" s="183"/>
      <c r="K20" s="183" t="s">
        <v>74</v>
      </c>
      <c r="L20" s="183"/>
      <c r="M20" s="178" t="n">
        <v>0.724054067707757</v>
      </c>
    </row>
    <row r="21" customFormat="false" ht="15" hidden="false" customHeight="false" outlineLevel="0" collapsed="false">
      <c r="A21" s="181" t="n">
        <v>2</v>
      </c>
      <c r="B21" s="34" t="s">
        <v>65</v>
      </c>
      <c r="C21" s="34"/>
      <c r="D21" s="34"/>
      <c r="E21" s="178" t="n">
        <v>0.20729043852278</v>
      </c>
      <c r="F21" s="178"/>
      <c r="G21" s="178"/>
      <c r="H21" s="181" t="n">
        <v>2</v>
      </c>
      <c r="I21" s="183" t="s">
        <v>70</v>
      </c>
      <c r="J21" s="183"/>
      <c r="K21" s="183" t="s">
        <v>74</v>
      </c>
      <c r="L21" s="183"/>
      <c r="M21" s="178" t="n">
        <v>0.244472199805294</v>
      </c>
    </row>
    <row r="22" customFormat="false" ht="15" hidden="false" customHeight="false" outlineLevel="0" collapsed="false">
      <c r="A22" s="181" t="n">
        <v>3</v>
      </c>
      <c r="B22" s="34" t="s">
        <v>71</v>
      </c>
      <c r="C22" s="34"/>
      <c r="D22" s="34"/>
      <c r="E22" s="178" t="n">
        <v>0.204273172377382</v>
      </c>
      <c r="F22" s="178"/>
      <c r="G22" s="178"/>
      <c r="H22" s="181" t="n">
        <v>3</v>
      </c>
      <c r="I22" s="183" t="s">
        <v>65</v>
      </c>
      <c r="J22" s="183"/>
      <c r="K22" s="183" t="s">
        <v>71</v>
      </c>
      <c r="L22" s="183"/>
      <c r="M22" s="178" t="n">
        <v>0.159105530960012</v>
      </c>
    </row>
    <row r="23" customFormat="false" ht="15" hidden="false" customHeight="false" outlineLevel="0" collapsed="false">
      <c r="A23" s="181" t="n">
        <v>4</v>
      </c>
      <c r="B23" s="34" t="s">
        <v>70</v>
      </c>
      <c r="C23" s="34"/>
      <c r="D23" s="34"/>
      <c r="E23" s="178" t="n">
        <v>0.177401463335646</v>
      </c>
      <c r="F23" s="178"/>
      <c r="G23" s="178"/>
      <c r="H23" s="181" t="n">
        <v>4</v>
      </c>
      <c r="I23" s="183" t="s">
        <v>74</v>
      </c>
      <c r="J23" s="183"/>
      <c r="K23" s="183" t="s">
        <v>65</v>
      </c>
      <c r="L23" s="183"/>
      <c r="M23" s="178" t="n">
        <v>0.159105530960012</v>
      </c>
    </row>
    <row r="24" customFormat="false" ht="15" hidden="false" customHeight="false" outlineLevel="0" collapsed="false">
      <c r="A24" s="181" t="n">
        <v>5</v>
      </c>
      <c r="B24" s="34" t="s">
        <v>75</v>
      </c>
      <c r="C24" s="34"/>
      <c r="D24" s="34"/>
      <c r="E24" s="178" t="n">
        <v>0.146437782963391</v>
      </c>
      <c r="F24" s="178"/>
      <c r="G24" s="178"/>
      <c r="H24" s="181" t="n">
        <v>5</v>
      </c>
      <c r="I24" s="183" t="s">
        <v>71</v>
      </c>
      <c r="J24" s="183"/>
      <c r="K24" s="183" t="s">
        <v>74</v>
      </c>
      <c r="L24" s="183"/>
      <c r="M24" s="178" t="n">
        <v>0.159105530960012</v>
      </c>
    </row>
  </sheetData>
  <mergeCells count="29">
    <mergeCell ref="C1:E3"/>
    <mergeCell ref="C4:E5"/>
    <mergeCell ref="A7:F7"/>
    <mergeCell ref="A17:G17"/>
    <mergeCell ref="H17:M17"/>
    <mergeCell ref="B19:D19"/>
    <mergeCell ref="E19:G19"/>
    <mergeCell ref="I19:J19"/>
    <mergeCell ref="K19:L19"/>
    <mergeCell ref="B20:D20"/>
    <mergeCell ref="E20:G20"/>
    <mergeCell ref="I20:J20"/>
    <mergeCell ref="K20:L20"/>
    <mergeCell ref="B21:D21"/>
    <mergeCell ref="E21:G21"/>
    <mergeCell ref="I21:J21"/>
    <mergeCell ref="K21:L21"/>
    <mergeCell ref="B22:D22"/>
    <mergeCell ref="E22:G22"/>
    <mergeCell ref="I22:J22"/>
    <mergeCell ref="K22:L22"/>
    <mergeCell ref="B23:D23"/>
    <mergeCell ref="E23:G23"/>
    <mergeCell ref="I23:J23"/>
    <mergeCell ref="K23:L23"/>
    <mergeCell ref="B24:D24"/>
    <mergeCell ref="E24:G24"/>
    <mergeCell ref="I24:J24"/>
    <mergeCell ref="K24:L2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43"/>
  <sheetViews>
    <sheetView showFormulas="false" showGridLines="true" showRowColHeaders="true" showZeros="true" rightToLeft="false" tabSelected="false" showOutlineSymbols="true" defaultGridColor="true" view="normal" topLeftCell="A1" colorId="64" zoomScale="197" zoomScaleNormal="197" zoomScalePageLayoutView="100" workbookViewId="0">
      <selection pane="topLeft" activeCell="A1" activeCellId="0" sqref="A1"/>
    </sheetView>
  </sheetViews>
  <sheetFormatPr defaultColWidth="8.60546875" defaultRowHeight="15" customHeight="false" zeroHeight="false" outlineLevelRow="0" outlineLevelCol="0"/>
  <sheetData>
    <row r="1" customFormat="false" ht="19.5" hidden="false" customHeight="true" outlineLevel="0" collapsed="false">
      <c r="A1" s="1"/>
      <c r="B1" s="1"/>
      <c r="C1" s="2" t="s">
        <v>1169</v>
      </c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customFormat="false" ht="19.5" hidden="false" customHeight="true" outlineLevel="0" collapsed="false">
      <c r="A2" s="1"/>
      <c r="B2" s="1"/>
      <c r="C2" s="2"/>
      <c r="D2" s="2"/>
      <c r="E2" s="2"/>
      <c r="F2" s="3"/>
      <c r="G2" s="4" t="s">
        <v>1</v>
      </c>
      <c r="H2" s="5" t="s">
        <v>1170</v>
      </c>
      <c r="I2" s="3"/>
      <c r="J2" s="3"/>
      <c r="K2" s="3"/>
      <c r="L2" s="3"/>
      <c r="M2" s="3"/>
      <c r="N2" s="3"/>
      <c r="O2" s="3"/>
      <c r="P2" s="3"/>
      <c r="Q2" s="3"/>
      <c r="R2" s="3"/>
    </row>
    <row r="3" customFormat="false" ht="19.5" hidden="false" customHeight="true" outlineLevel="0" collapsed="false">
      <c r="A3" s="1"/>
      <c r="B3" s="1"/>
      <c r="C3" s="2"/>
      <c r="D3" s="2"/>
      <c r="E3" s="2"/>
      <c r="F3" s="3"/>
      <c r="G3" s="4" t="s">
        <v>3</v>
      </c>
      <c r="H3" s="5" t="s">
        <v>4</v>
      </c>
      <c r="I3" s="3"/>
      <c r="J3" s="3"/>
      <c r="K3" s="4" t="s">
        <v>5</v>
      </c>
      <c r="L3" s="6" t="s">
        <v>6</v>
      </c>
      <c r="M3" s="3"/>
      <c r="N3" s="3"/>
      <c r="O3" s="3"/>
      <c r="P3" s="3"/>
      <c r="Q3" s="3"/>
      <c r="R3" s="3"/>
    </row>
    <row r="4" customFormat="false" ht="19.5" hidden="false" customHeight="true" outlineLevel="0" collapsed="false">
      <c r="A4" s="1"/>
      <c r="B4" s="1"/>
      <c r="C4" s="7" t="s">
        <v>7</v>
      </c>
      <c r="D4" s="7"/>
      <c r="E4" s="7"/>
      <c r="F4" s="3"/>
      <c r="G4" s="4" t="s">
        <v>8</v>
      </c>
      <c r="H4" s="5" t="s">
        <v>1171</v>
      </c>
      <c r="I4" s="3"/>
      <c r="J4" s="3"/>
      <c r="K4" s="4" t="s">
        <v>10</v>
      </c>
      <c r="L4" s="6" t="s">
        <v>1172</v>
      </c>
      <c r="M4" s="3"/>
      <c r="N4" s="3"/>
      <c r="O4" s="3"/>
      <c r="P4" s="3"/>
      <c r="Q4" s="3"/>
      <c r="R4" s="3"/>
    </row>
    <row r="5" customFormat="false" ht="19.5" hidden="false" customHeight="true" outlineLevel="0" collapsed="false">
      <c r="A5" s="8"/>
      <c r="B5" s="8"/>
      <c r="C5" s="7"/>
      <c r="D5" s="7"/>
      <c r="E5" s="7"/>
      <c r="F5" s="9"/>
      <c r="G5" s="10" t="s">
        <v>12</v>
      </c>
      <c r="H5" s="11" t="s">
        <v>1173</v>
      </c>
      <c r="I5" s="9"/>
      <c r="J5" s="9"/>
      <c r="K5" s="10" t="s">
        <v>14</v>
      </c>
      <c r="L5" s="12" t="s">
        <v>15</v>
      </c>
      <c r="M5" s="9"/>
      <c r="N5" s="9"/>
      <c r="O5" s="9"/>
      <c r="P5" s="9"/>
      <c r="Q5" s="9"/>
      <c r="R5" s="9"/>
    </row>
    <row r="7" customFormat="false" ht="24.75" hidden="false" customHeight="true" outlineLevel="0" collapsed="false">
      <c r="B7" s="184" t="s">
        <v>1174</v>
      </c>
      <c r="C7" s="184"/>
      <c r="D7" s="184"/>
      <c r="E7" s="184"/>
      <c r="F7" s="184"/>
      <c r="G7" s="184"/>
      <c r="H7" s="184"/>
      <c r="I7" s="184"/>
      <c r="J7" s="184"/>
      <c r="K7" s="184"/>
      <c r="L7" s="184"/>
      <c r="M7" s="184"/>
      <c r="N7" s="184"/>
      <c r="O7" s="184"/>
      <c r="P7" s="184"/>
      <c r="Q7" s="184"/>
      <c r="R7" s="184"/>
      <c r="S7" s="184"/>
      <c r="T7" s="184"/>
      <c r="U7" s="184"/>
      <c r="V7" s="184"/>
      <c r="W7" s="184"/>
      <c r="X7" s="184"/>
      <c r="Y7" s="184"/>
      <c r="Z7" s="184"/>
    </row>
    <row r="9" customFormat="false" ht="24" hidden="false" customHeight="false" outlineLevel="0" collapsed="false">
      <c r="B9" s="185" t="s">
        <v>565</v>
      </c>
      <c r="C9" s="185" t="s">
        <v>1175</v>
      </c>
      <c r="D9" s="185" t="s">
        <v>1176</v>
      </c>
    </row>
    <row r="10" customFormat="false" ht="15" hidden="false" customHeight="false" outlineLevel="0" collapsed="false">
      <c r="B10" s="186" t="s">
        <v>1177</v>
      </c>
      <c r="C10" s="187" t="n">
        <v>4.25</v>
      </c>
      <c r="D10" s="186" t="s">
        <v>1178</v>
      </c>
    </row>
    <row r="11" customFormat="false" ht="15" hidden="false" customHeight="false" outlineLevel="0" collapsed="false">
      <c r="B11" s="188" t="s">
        <v>1179</v>
      </c>
      <c r="C11" s="189" t="n">
        <v>85.4</v>
      </c>
      <c r="D11" s="188" t="s">
        <v>1180</v>
      </c>
    </row>
    <row r="12" customFormat="false" ht="15" hidden="false" customHeight="false" outlineLevel="0" collapsed="false">
      <c r="B12" s="186" t="s">
        <v>1181</v>
      </c>
      <c r="C12" s="187" t="n">
        <v>0.0498</v>
      </c>
      <c r="D12" s="186" t="s">
        <v>1182</v>
      </c>
    </row>
    <row r="15" customFormat="false" ht="24.75" hidden="false" customHeight="true" outlineLevel="0" collapsed="false">
      <c r="B15" s="184" t="s">
        <v>1183</v>
      </c>
      <c r="C15" s="184"/>
      <c r="D15" s="184"/>
      <c r="E15" s="184"/>
      <c r="F15" s="184"/>
      <c r="G15" s="184"/>
      <c r="H15" s="184"/>
      <c r="I15" s="184"/>
      <c r="J15" s="184"/>
      <c r="K15" s="184"/>
      <c r="L15" s="184"/>
      <c r="M15" s="184"/>
      <c r="N15" s="184"/>
      <c r="O15" s="184"/>
      <c r="P15" s="184"/>
      <c r="Q15" s="184"/>
      <c r="R15" s="184"/>
      <c r="S15" s="184"/>
      <c r="T15" s="184"/>
      <c r="U15" s="184"/>
      <c r="V15" s="184"/>
      <c r="W15" s="184"/>
      <c r="X15" s="184"/>
      <c r="Y15" s="184"/>
      <c r="Z15" s="184"/>
    </row>
    <row r="17" customFormat="false" ht="15" hidden="false" customHeight="false" outlineLevel="0" collapsed="false">
      <c r="B17" s="190" t="s">
        <v>1184</v>
      </c>
      <c r="C17" s="190" t="s">
        <v>1175</v>
      </c>
    </row>
    <row r="18" customFormat="false" ht="15" hidden="false" customHeight="false" outlineLevel="0" collapsed="false">
      <c r="B18" s="186" t="s">
        <v>1185</v>
      </c>
      <c r="C18" s="186" t="s">
        <v>1186</v>
      </c>
    </row>
    <row r="19" customFormat="false" ht="15" hidden="false" customHeight="false" outlineLevel="0" collapsed="false">
      <c r="B19" s="188" t="s">
        <v>1187</v>
      </c>
      <c r="C19" s="188" t="s">
        <v>1188</v>
      </c>
    </row>
    <row r="20" customFormat="false" ht="15" hidden="false" customHeight="false" outlineLevel="0" collapsed="false">
      <c r="B20" s="186" t="s">
        <v>1189</v>
      </c>
      <c r="C20" s="186" t="s">
        <v>1190</v>
      </c>
    </row>
    <row r="23" customFormat="false" ht="24.75" hidden="false" customHeight="true" outlineLevel="0" collapsed="false">
      <c r="B23" s="184" t="s">
        <v>1191</v>
      </c>
      <c r="C23" s="184"/>
      <c r="D23" s="184"/>
      <c r="E23" s="184"/>
      <c r="F23" s="184"/>
      <c r="G23" s="184"/>
      <c r="H23" s="184"/>
      <c r="I23" s="184"/>
      <c r="J23" s="184"/>
      <c r="K23" s="184"/>
      <c r="L23" s="184"/>
      <c r="M23" s="184"/>
      <c r="N23" s="184"/>
      <c r="O23" s="184"/>
      <c r="P23" s="184"/>
      <c r="Q23" s="184"/>
      <c r="R23" s="184"/>
      <c r="S23" s="184"/>
      <c r="T23" s="184"/>
      <c r="U23" s="184"/>
      <c r="V23" s="184"/>
      <c r="W23" s="184"/>
      <c r="X23" s="184"/>
      <c r="Y23" s="184"/>
      <c r="Z23" s="184"/>
    </row>
    <row r="25" customFormat="false" ht="15" hidden="false" customHeight="false" outlineLevel="0" collapsed="false">
      <c r="B25" s="185" t="s">
        <v>565</v>
      </c>
      <c r="C25" s="185" t="s">
        <v>1175</v>
      </c>
    </row>
    <row r="26" customFormat="false" ht="15" hidden="false" customHeight="false" outlineLevel="0" collapsed="false">
      <c r="B26" s="186" t="s">
        <v>1192</v>
      </c>
      <c r="C26" s="186" t="s">
        <v>1193</v>
      </c>
    </row>
    <row r="27" customFormat="false" ht="15" hidden="false" customHeight="false" outlineLevel="0" collapsed="false">
      <c r="B27" s="188" t="s">
        <v>1194</v>
      </c>
      <c r="C27" s="188" t="s">
        <v>1195</v>
      </c>
    </row>
    <row r="28" customFormat="false" ht="15" hidden="false" customHeight="false" outlineLevel="0" collapsed="false">
      <c r="B28" s="186" t="s">
        <v>1196</v>
      </c>
      <c r="C28" s="186" t="s">
        <v>1197</v>
      </c>
    </row>
    <row r="29" customFormat="false" ht="15" hidden="false" customHeight="false" outlineLevel="0" collapsed="false">
      <c r="B29" s="188" t="s">
        <v>1198</v>
      </c>
      <c r="C29" s="188" t="s">
        <v>1199</v>
      </c>
    </row>
    <row r="32" customFormat="false" ht="24.75" hidden="false" customHeight="true" outlineLevel="0" collapsed="false">
      <c r="B32" s="184" t="s">
        <v>1200</v>
      </c>
      <c r="C32" s="184"/>
      <c r="D32" s="184"/>
      <c r="E32" s="184"/>
      <c r="F32" s="184"/>
      <c r="G32" s="184"/>
      <c r="H32" s="184"/>
      <c r="I32" s="184"/>
      <c r="J32" s="184"/>
      <c r="K32" s="184"/>
      <c r="L32" s="184"/>
      <c r="M32" s="184"/>
      <c r="N32" s="184"/>
      <c r="O32" s="184"/>
      <c r="P32" s="184"/>
      <c r="Q32" s="184"/>
      <c r="R32" s="184"/>
      <c r="S32" s="184"/>
      <c r="T32" s="184"/>
      <c r="U32" s="184"/>
      <c r="V32" s="184"/>
      <c r="W32" s="184"/>
      <c r="X32" s="184"/>
      <c r="Y32" s="184"/>
      <c r="Z32" s="184"/>
    </row>
    <row r="34" customFormat="false" ht="15" hidden="false" customHeight="false" outlineLevel="0" collapsed="false">
      <c r="B34" s="190" t="s">
        <v>1201</v>
      </c>
      <c r="C34" s="190" t="s">
        <v>1202</v>
      </c>
    </row>
    <row r="35" customFormat="false" ht="15" hidden="false" customHeight="false" outlineLevel="0" collapsed="false">
      <c r="B35" s="186" t="s">
        <v>1203</v>
      </c>
      <c r="C35" s="186" t="s">
        <v>1204</v>
      </c>
    </row>
    <row r="36" customFormat="false" ht="15" hidden="false" customHeight="false" outlineLevel="0" collapsed="false">
      <c r="B36" s="188" t="s">
        <v>1203</v>
      </c>
      <c r="C36" s="188" t="s">
        <v>1205</v>
      </c>
    </row>
    <row r="37" customFormat="false" ht="15" hidden="false" customHeight="false" outlineLevel="0" collapsed="false">
      <c r="B37" s="186" t="s">
        <v>1203</v>
      </c>
      <c r="C37" s="186" t="s">
        <v>1206</v>
      </c>
    </row>
    <row r="38" customFormat="false" ht="15" hidden="false" customHeight="false" outlineLevel="0" collapsed="false">
      <c r="B38" s="188" t="s">
        <v>1207</v>
      </c>
      <c r="C38" s="188" t="s">
        <v>1208</v>
      </c>
    </row>
    <row r="39" customFormat="false" ht="15" hidden="false" customHeight="false" outlineLevel="0" collapsed="false">
      <c r="B39" s="186" t="s">
        <v>1207</v>
      </c>
      <c r="C39" s="186" t="s">
        <v>1209</v>
      </c>
    </row>
    <row r="40" customFormat="false" ht="15" hidden="false" customHeight="false" outlineLevel="0" collapsed="false">
      <c r="B40" s="188" t="s">
        <v>1207</v>
      </c>
      <c r="C40" s="188" t="s">
        <v>1210</v>
      </c>
    </row>
    <row r="41" customFormat="false" ht="15" hidden="false" customHeight="false" outlineLevel="0" collapsed="false">
      <c r="B41" s="186" t="s">
        <v>1211</v>
      </c>
      <c r="C41" s="186" t="s">
        <v>1212</v>
      </c>
    </row>
    <row r="42" customFormat="false" ht="15" hidden="false" customHeight="false" outlineLevel="0" collapsed="false">
      <c r="B42" s="188" t="s">
        <v>1211</v>
      </c>
      <c r="C42" s="188" t="s">
        <v>1213</v>
      </c>
    </row>
    <row r="43" customFormat="false" ht="15" hidden="false" customHeight="false" outlineLevel="0" collapsed="false">
      <c r="B43" s="186" t="s">
        <v>1214</v>
      </c>
      <c r="C43" s="186" t="s">
        <v>1215</v>
      </c>
    </row>
  </sheetData>
  <mergeCells count="6">
    <mergeCell ref="C1:E3"/>
    <mergeCell ref="C4:E5"/>
    <mergeCell ref="B7:Z7"/>
    <mergeCell ref="B15:Z15"/>
    <mergeCell ref="B23:Z23"/>
    <mergeCell ref="B32:Z3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9"/>
  <sheetViews>
    <sheetView showFormulas="false" showGridLines="true" showRowColHeaders="true" showZeros="true" rightToLeft="false" tabSelected="false" showOutlineSymbols="true" defaultGridColor="true" view="normal" topLeftCell="A1" colorId="64" zoomScale="197" zoomScaleNormal="197" zoomScalePageLayoutView="100" workbookViewId="0">
      <selection pane="topLeft" activeCell="A1" activeCellId="0" sqref="A1"/>
    </sheetView>
  </sheetViews>
  <sheetFormatPr defaultColWidth="8.60546875" defaultRowHeight="15" customHeight="false" zeroHeight="false" outlineLevelRow="0" outlineLevelCol="0"/>
  <cols>
    <col collapsed="false" customWidth="true" hidden="false" outlineLevel="0" max="1" min="1" style="0" width="15.71"/>
    <col collapsed="false" customWidth="true" hidden="false" outlineLevel="0" max="2" min="2" style="0" width="45.71"/>
  </cols>
  <sheetData>
    <row r="1" customFormat="false" ht="19.5" hidden="false" customHeight="true" outlineLevel="0" collapsed="false">
      <c r="A1" s="1"/>
      <c r="B1" s="1"/>
      <c r="C1" s="2" t="s">
        <v>1216</v>
      </c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customFormat="false" ht="19.5" hidden="false" customHeight="true" outlineLevel="0" collapsed="false">
      <c r="A2" s="1"/>
      <c r="B2" s="1"/>
      <c r="C2" s="2"/>
      <c r="D2" s="2"/>
      <c r="E2" s="2"/>
      <c r="F2" s="3"/>
      <c r="G2" s="4" t="s">
        <v>1</v>
      </c>
      <c r="H2" s="5" t="s">
        <v>2</v>
      </c>
      <c r="I2" s="3"/>
      <c r="J2" s="3"/>
      <c r="K2" s="3"/>
      <c r="L2" s="3"/>
      <c r="M2" s="3"/>
      <c r="N2" s="3"/>
      <c r="O2" s="3"/>
      <c r="P2" s="3"/>
      <c r="Q2" s="3"/>
      <c r="R2" s="3"/>
    </row>
    <row r="3" customFormat="false" ht="19.5" hidden="false" customHeight="true" outlineLevel="0" collapsed="false">
      <c r="A3" s="1"/>
      <c r="B3" s="1"/>
      <c r="C3" s="2"/>
      <c r="D3" s="2"/>
      <c r="E3" s="2"/>
      <c r="F3" s="3"/>
      <c r="G3" s="4" t="s">
        <v>3</v>
      </c>
      <c r="H3" s="5" t="s">
        <v>4</v>
      </c>
      <c r="I3" s="3"/>
      <c r="J3" s="3"/>
      <c r="K3" s="4" t="s">
        <v>5</v>
      </c>
      <c r="L3" s="6" t="s">
        <v>6</v>
      </c>
      <c r="M3" s="3"/>
      <c r="N3" s="3"/>
      <c r="O3" s="3"/>
      <c r="P3" s="3"/>
      <c r="Q3" s="3"/>
      <c r="R3" s="3"/>
    </row>
    <row r="4" customFormat="false" ht="19.5" hidden="false" customHeight="true" outlineLevel="0" collapsed="false">
      <c r="A4" s="1"/>
      <c r="B4" s="1"/>
      <c r="C4" s="7" t="s">
        <v>7</v>
      </c>
      <c r="D4" s="7"/>
      <c r="E4" s="7"/>
      <c r="F4" s="3"/>
      <c r="G4" s="4" t="s">
        <v>8</v>
      </c>
      <c r="H4" s="5" t="s">
        <v>9</v>
      </c>
      <c r="I4" s="3"/>
      <c r="J4" s="3"/>
      <c r="K4" s="4" t="s">
        <v>10</v>
      </c>
      <c r="L4" s="6" t="s">
        <v>11</v>
      </c>
      <c r="M4" s="3"/>
      <c r="N4" s="3"/>
      <c r="O4" s="3"/>
      <c r="P4" s="3"/>
      <c r="Q4" s="3"/>
      <c r="R4" s="3"/>
    </row>
    <row r="5" customFormat="false" ht="19.5" hidden="false" customHeight="true" outlineLevel="0" collapsed="false">
      <c r="A5" s="8"/>
      <c r="B5" s="8"/>
      <c r="C5" s="7"/>
      <c r="D5" s="7"/>
      <c r="E5" s="7"/>
      <c r="F5" s="9"/>
      <c r="G5" s="10" t="s">
        <v>12</v>
      </c>
      <c r="H5" s="11" t="s">
        <v>13</v>
      </c>
      <c r="I5" s="9"/>
      <c r="J5" s="9"/>
      <c r="K5" s="10" t="s">
        <v>14</v>
      </c>
      <c r="L5" s="12" t="s">
        <v>15</v>
      </c>
      <c r="M5" s="9"/>
      <c r="N5" s="9"/>
      <c r="O5" s="9"/>
      <c r="P5" s="9"/>
      <c r="Q5" s="9"/>
      <c r="R5" s="9"/>
    </row>
    <row r="7" customFormat="false" ht="15" hidden="false" customHeight="false" outlineLevel="0" collapsed="false">
      <c r="A7" s="163" t="s">
        <v>1217</v>
      </c>
      <c r="B7" s="163"/>
      <c r="C7" s="163"/>
      <c r="D7" s="163"/>
      <c r="E7" s="163"/>
      <c r="F7" s="163"/>
    </row>
    <row r="9" customFormat="false" ht="15" hidden="false" customHeight="false" outlineLevel="0" collapsed="false">
      <c r="A9" s="181" t="s">
        <v>1218</v>
      </c>
      <c r="B9" s="181" t="s">
        <v>118</v>
      </c>
    </row>
    <row r="10" customFormat="false" ht="15" hidden="false" customHeight="false" outlineLevel="0" collapsed="false">
      <c r="A10" s="191" t="s">
        <v>1219</v>
      </c>
      <c r="B10" s="34" t="s">
        <v>1220</v>
      </c>
    </row>
    <row r="11" customFormat="false" ht="15" hidden="false" customHeight="false" outlineLevel="0" collapsed="false">
      <c r="A11" s="191" t="s">
        <v>1221</v>
      </c>
      <c r="B11" s="34" t="s">
        <v>1222</v>
      </c>
    </row>
    <row r="12" customFormat="false" ht="15" hidden="false" customHeight="false" outlineLevel="0" collapsed="false">
      <c r="A12" s="191" t="s">
        <v>1223</v>
      </c>
      <c r="B12" s="34" t="s">
        <v>1224</v>
      </c>
    </row>
    <row r="13" customFormat="false" ht="15" hidden="false" customHeight="false" outlineLevel="0" collapsed="false">
      <c r="A13" s="191" t="s">
        <v>1225</v>
      </c>
      <c r="B13" s="34" t="s">
        <v>1226</v>
      </c>
    </row>
    <row r="14" customFormat="false" ht="15" hidden="false" customHeight="false" outlineLevel="0" collapsed="false">
      <c r="A14" s="191" t="s">
        <v>1227</v>
      </c>
      <c r="B14" s="34" t="s">
        <v>1228</v>
      </c>
    </row>
    <row r="15" customFormat="false" ht="15" hidden="false" customHeight="false" outlineLevel="0" collapsed="false">
      <c r="A15" s="191" t="s">
        <v>1229</v>
      </c>
      <c r="B15" s="34" t="s">
        <v>1230</v>
      </c>
    </row>
    <row r="16" customFormat="false" ht="15" hidden="false" customHeight="false" outlineLevel="0" collapsed="false">
      <c r="A16" s="191" t="s">
        <v>1231</v>
      </c>
      <c r="B16" s="34" t="s">
        <v>1232</v>
      </c>
    </row>
    <row r="17" customFormat="false" ht="15" hidden="false" customHeight="false" outlineLevel="0" collapsed="false">
      <c r="A17" s="191" t="s">
        <v>1233</v>
      </c>
      <c r="B17" s="34" t="s">
        <v>1234</v>
      </c>
    </row>
    <row r="18" customFormat="false" ht="15" hidden="false" customHeight="false" outlineLevel="0" collapsed="false">
      <c r="A18" s="191" t="s">
        <v>1235</v>
      </c>
      <c r="B18" s="34" t="s">
        <v>1236</v>
      </c>
    </row>
    <row r="19" customFormat="false" ht="15" hidden="false" customHeight="false" outlineLevel="0" collapsed="false">
      <c r="A19" s="191" t="s">
        <v>1237</v>
      </c>
      <c r="B19" s="34" t="s">
        <v>1238</v>
      </c>
    </row>
  </sheetData>
  <mergeCells count="3">
    <mergeCell ref="C1:E3"/>
    <mergeCell ref="C4:E5"/>
    <mergeCell ref="A7:F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4"/>
  <sheetViews>
    <sheetView showFormulas="false" showGridLines="true" showRowColHeaders="true" showZeros="true" rightToLeft="false" tabSelected="false" showOutlineSymbols="true" defaultGridColor="true" view="normal" topLeftCell="A1" colorId="64" zoomScale="197" zoomScaleNormal="197" zoomScalePageLayoutView="100" workbookViewId="0">
      <selection pane="topLeft" activeCell="A1" activeCellId="0" sqref="A1"/>
    </sheetView>
  </sheetViews>
  <sheetFormatPr defaultColWidth="8.60546875" defaultRowHeight="15" customHeight="false" zeroHeight="false" outlineLevelRow="0" outlineLevelCol="0"/>
  <cols>
    <col collapsed="false" customWidth="true" hidden="false" outlineLevel="0" max="1" min="1" style="0" width="48.71"/>
    <col collapsed="false" customWidth="true" hidden="false" outlineLevel="0" max="2" min="2" style="0" width="28.71"/>
    <col collapsed="false" customWidth="true" hidden="false" outlineLevel="0" max="3" min="3" style="0" width="42.71"/>
    <col collapsed="false" customWidth="true" hidden="false" outlineLevel="0" max="13" min="4" style="0" width="14.71"/>
  </cols>
  <sheetData>
    <row r="1" customFormat="false" ht="19.5" hidden="false" customHeight="true" outlineLevel="0" collapsed="false">
      <c r="A1" s="1"/>
      <c r="B1" s="1"/>
      <c r="C1" s="2" t="s">
        <v>1239</v>
      </c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customFormat="false" ht="19.5" hidden="false" customHeight="true" outlineLevel="0" collapsed="false">
      <c r="A2" s="1"/>
      <c r="B2" s="1"/>
      <c r="C2" s="2"/>
      <c r="D2" s="2"/>
      <c r="E2" s="2"/>
      <c r="F2" s="3"/>
      <c r="G2" s="4" t="s">
        <v>1</v>
      </c>
      <c r="H2" s="5" t="s">
        <v>2</v>
      </c>
      <c r="I2" s="3"/>
      <c r="J2" s="3"/>
      <c r="K2" s="3"/>
      <c r="L2" s="3"/>
      <c r="M2" s="3"/>
      <c r="N2" s="3"/>
      <c r="O2" s="3"/>
      <c r="P2" s="3"/>
      <c r="Q2" s="3"/>
      <c r="R2" s="3"/>
    </row>
    <row r="3" customFormat="false" ht="19.5" hidden="false" customHeight="true" outlineLevel="0" collapsed="false">
      <c r="A3" s="1"/>
      <c r="B3" s="1"/>
      <c r="C3" s="2"/>
      <c r="D3" s="2"/>
      <c r="E3" s="2"/>
      <c r="F3" s="3"/>
      <c r="G3" s="4" t="s">
        <v>3</v>
      </c>
      <c r="H3" s="5" t="s">
        <v>4</v>
      </c>
      <c r="I3" s="3"/>
      <c r="J3" s="3"/>
      <c r="K3" s="4" t="s">
        <v>5</v>
      </c>
      <c r="L3" s="6" t="s">
        <v>6</v>
      </c>
      <c r="M3" s="3"/>
      <c r="N3" s="3"/>
      <c r="O3" s="3"/>
      <c r="P3" s="3"/>
      <c r="Q3" s="3"/>
      <c r="R3" s="3"/>
    </row>
    <row r="4" customFormat="false" ht="19.5" hidden="false" customHeight="true" outlineLevel="0" collapsed="false">
      <c r="A4" s="1"/>
      <c r="B4" s="1"/>
      <c r="C4" s="7" t="s">
        <v>7</v>
      </c>
      <c r="D4" s="7"/>
      <c r="E4" s="7"/>
      <c r="F4" s="3"/>
      <c r="G4" s="4" t="s">
        <v>8</v>
      </c>
      <c r="H4" s="5" t="s">
        <v>9</v>
      </c>
      <c r="I4" s="3"/>
      <c r="J4" s="3"/>
      <c r="K4" s="4" t="s">
        <v>10</v>
      </c>
      <c r="L4" s="6" t="s">
        <v>11</v>
      </c>
      <c r="M4" s="3"/>
      <c r="N4" s="3"/>
      <c r="O4" s="3"/>
      <c r="P4" s="3"/>
      <c r="Q4" s="3"/>
      <c r="R4" s="3"/>
    </row>
    <row r="5" customFormat="false" ht="19.5" hidden="false" customHeight="true" outlineLevel="0" collapsed="false">
      <c r="A5" s="8"/>
      <c r="B5" s="8"/>
      <c r="C5" s="7"/>
      <c r="D5" s="7"/>
      <c r="E5" s="7"/>
      <c r="F5" s="9"/>
      <c r="G5" s="10" t="s">
        <v>12</v>
      </c>
      <c r="H5" s="11" t="s">
        <v>13</v>
      </c>
      <c r="I5" s="9"/>
      <c r="J5" s="9"/>
      <c r="K5" s="10" t="s">
        <v>14</v>
      </c>
      <c r="L5" s="12" t="s">
        <v>15</v>
      </c>
      <c r="M5" s="9"/>
      <c r="N5" s="9"/>
      <c r="O5" s="9"/>
      <c r="P5" s="9"/>
      <c r="Q5" s="9"/>
      <c r="R5" s="9"/>
    </row>
    <row r="7" customFormat="false" ht="17.35" hidden="false" customHeight="false" outlineLevel="0" collapsed="false">
      <c r="A7" s="13" t="s">
        <v>1240</v>
      </c>
      <c r="B7" s="13"/>
      <c r="C7" s="13"/>
      <c r="D7" s="13"/>
      <c r="E7" s="13"/>
      <c r="F7" s="13"/>
    </row>
    <row r="9" customFormat="false" ht="15" hidden="false" customHeight="false" outlineLevel="0" collapsed="false">
      <c r="A9" s="18" t="s">
        <v>1241</v>
      </c>
      <c r="B9" s="18" t="s">
        <v>1242</v>
      </c>
      <c r="C9" s="18" t="s">
        <v>1243</v>
      </c>
    </row>
    <row r="10" customFormat="false" ht="17.35" hidden="false" customHeight="false" outlineLevel="0" collapsed="false">
      <c r="A10" s="19" t="s">
        <v>1244</v>
      </c>
      <c r="B10" s="21" t="s">
        <v>1245</v>
      </c>
      <c r="C10" s="21" t="s">
        <v>1246</v>
      </c>
    </row>
    <row r="11" customFormat="false" ht="17.35" hidden="false" customHeight="false" outlineLevel="0" collapsed="false">
      <c r="A11" s="19" t="s">
        <v>1247</v>
      </c>
      <c r="B11" s="43" t="n">
        <v>6</v>
      </c>
      <c r="C11" s="21" t="s">
        <v>1248</v>
      </c>
    </row>
    <row r="12" customFormat="false" ht="17.35" hidden="false" customHeight="false" outlineLevel="0" collapsed="false">
      <c r="A12" s="19" t="s">
        <v>1249</v>
      </c>
      <c r="B12" s="21" t="s">
        <v>1250</v>
      </c>
      <c r="C12" s="21" t="s">
        <v>1251</v>
      </c>
    </row>
    <row r="13" customFormat="false" ht="17.35" hidden="false" customHeight="false" outlineLevel="0" collapsed="false">
      <c r="A13" s="19" t="s">
        <v>1252</v>
      </c>
      <c r="B13" s="43" t="n">
        <v>1</v>
      </c>
      <c r="C13" s="21" t="s">
        <v>1253</v>
      </c>
    </row>
    <row r="14" customFormat="false" ht="17.35" hidden="false" customHeight="false" outlineLevel="0" collapsed="false">
      <c r="A14" s="19" t="s">
        <v>1254</v>
      </c>
      <c r="B14" s="21" t="s">
        <v>1255</v>
      </c>
      <c r="C14" s="21" t="s">
        <v>1256</v>
      </c>
    </row>
    <row r="15" customFormat="false" ht="17.35" hidden="false" customHeight="false" outlineLevel="0" collapsed="false">
      <c r="A15" s="19" t="s">
        <v>1257</v>
      </c>
      <c r="B15" s="43" t="n">
        <v>0</v>
      </c>
      <c r="C15" s="21" t="s">
        <v>1258</v>
      </c>
    </row>
    <row r="18" customFormat="false" ht="17.35" hidden="false" customHeight="false" outlineLevel="0" collapsed="false">
      <c r="A18" s="13" t="s">
        <v>1259</v>
      </c>
      <c r="B18" s="13"/>
      <c r="C18" s="13"/>
      <c r="D18" s="13"/>
      <c r="E18" s="13"/>
      <c r="F18" s="13"/>
    </row>
    <row r="20" customFormat="false" ht="15" hidden="false" customHeight="false" outlineLevel="0" collapsed="false">
      <c r="A20" s="18" t="s">
        <v>1260</v>
      </c>
      <c r="B20" s="18" t="s">
        <v>1261</v>
      </c>
      <c r="C20" s="18" t="s">
        <v>1262</v>
      </c>
    </row>
    <row r="21" customFormat="false" ht="17.35" hidden="false" customHeight="false" outlineLevel="0" collapsed="false">
      <c r="A21" s="19" t="s">
        <v>1263</v>
      </c>
      <c r="B21" s="43" t="n">
        <v>11</v>
      </c>
      <c r="C21" s="21" t="s">
        <v>1264</v>
      </c>
    </row>
    <row r="22" customFormat="false" ht="17.35" hidden="false" customHeight="false" outlineLevel="0" collapsed="false">
      <c r="A22" s="19" t="s">
        <v>1265</v>
      </c>
      <c r="B22" s="43" t="n">
        <v>8</v>
      </c>
      <c r="C22" s="21" t="s">
        <v>1266</v>
      </c>
    </row>
    <row r="23" customFormat="false" ht="17.35" hidden="false" customHeight="false" outlineLevel="0" collapsed="false">
      <c r="A23" s="19" t="s">
        <v>1267</v>
      </c>
      <c r="B23" s="43" t="n">
        <v>57.8947368421053</v>
      </c>
      <c r="C23" s="21" t="s">
        <v>1268</v>
      </c>
    </row>
    <row r="24" customFormat="false" ht="17.35" hidden="false" customHeight="false" outlineLevel="0" collapsed="false">
      <c r="A24" s="19" t="s">
        <v>1269</v>
      </c>
      <c r="B24" s="21" t="s">
        <v>1270</v>
      </c>
      <c r="C24" s="21" t="s">
        <v>1271</v>
      </c>
    </row>
    <row r="27" customFormat="false" ht="17.35" hidden="false" customHeight="false" outlineLevel="0" collapsed="false">
      <c r="A27" s="13" t="s">
        <v>1272</v>
      </c>
      <c r="B27" s="13"/>
      <c r="C27" s="13"/>
      <c r="D27" s="13"/>
      <c r="E27" s="13"/>
      <c r="F27" s="13"/>
    </row>
    <row r="29" customFormat="false" ht="15" hidden="false" customHeight="false" outlineLevel="0" collapsed="false">
      <c r="A29" s="18" t="s">
        <v>1273</v>
      </c>
      <c r="B29" s="18" t="s">
        <v>1274</v>
      </c>
      <c r="C29" s="18" t="s">
        <v>1275</v>
      </c>
    </row>
    <row r="30" customFormat="false" ht="17.35" hidden="false" customHeight="false" outlineLevel="0" collapsed="false">
      <c r="A30" s="19" t="s">
        <v>1276</v>
      </c>
      <c r="B30" s="43" t="n">
        <v>36.06</v>
      </c>
      <c r="C30" s="21" t="s">
        <v>1277</v>
      </c>
    </row>
    <row r="31" customFormat="false" ht="17.35" hidden="false" customHeight="false" outlineLevel="0" collapsed="false">
      <c r="A31" s="19" t="s">
        <v>1278</v>
      </c>
      <c r="B31" s="43" t="n">
        <v>-8.92</v>
      </c>
      <c r="C31" s="21" t="s">
        <v>1279</v>
      </c>
    </row>
    <row r="32" customFormat="false" ht="17.35" hidden="false" customHeight="false" outlineLevel="0" collapsed="false">
      <c r="A32" s="19" t="s">
        <v>1280</v>
      </c>
      <c r="B32" s="43" t="n">
        <v>44.98</v>
      </c>
      <c r="C32" s="21" t="s">
        <v>1281</v>
      </c>
    </row>
    <row r="33" customFormat="false" ht="17.35" hidden="false" customHeight="false" outlineLevel="0" collapsed="false">
      <c r="A33" s="19" t="s">
        <v>1282</v>
      </c>
      <c r="B33" s="43" t="n">
        <v>1.19</v>
      </c>
      <c r="C33" s="21" t="s">
        <v>1283</v>
      </c>
    </row>
    <row r="34" customFormat="false" ht="17.35" hidden="false" customHeight="false" outlineLevel="0" collapsed="false">
      <c r="A34" s="19" t="s">
        <v>1284</v>
      </c>
      <c r="B34" s="21" t="s">
        <v>1285</v>
      </c>
      <c r="C34" s="21" t="s">
        <v>1286</v>
      </c>
    </row>
    <row r="37" customFormat="false" ht="17.35" hidden="false" customHeight="false" outlineLevel="0" collapsed="false">
      <c r="A37" s="13" t="s">
        <v>1287</v>
      </c>
      <c r="B37" s="13"/>
      <c r="C37" s="13"/>
      <c r="D37" s="13"/>
      <c r="E37" s="13"/>
      <c r="F37" s="13"/>
    </row>
    <row r="39" customFormat="false" ht="15" hidden="false" customHeight="false" outlineLevel="0" collapsed="false">
      <c r="A39" s="18" t="s">
        <v>784</v>
      </c>
      <c r="B39" s="18" t="s">
        <v>65</v>
      </c>
      <c r="C39" s="18" t="s">
        <v>71</v>
      </c>
      <c r="D39" s="18" t="s">
        <v>74</v>
      </c>
      <c r="E39" s="18" t="s">
        <v>75</v>
      </c>
      <c r="F39" s="18" t="s">
        <v>70</v>
      </c>
    </row>
    <row r="40" customFormat="false" ht="17.35" hidden="false" customHeight="false" outlineLevel="0" collapsed="false">
      <c r="A40" s="19" t="s">
        <v>65</v>
      </c>
      <c r="B40" s="43" t="n">
        <v>0.578947368421053</v>
      </c>
      <c r="C40" s="43" t="n">
        <v>0</v>
      </c>
      <c r="D40" s="43" t="n">
        <v>0</v>
      </c>
      <c r="E40" s="43" t="n">
        <v>0</v>
      </c>
      <c r="F40" s="43" t="n">
        <v>0</v>
      </c>
    </row>
    <row r="41" customFormat="false" ht="17.35" hidden="false" customHeight="false" outlineLevel="0" collapsed="false">
      <c r="A41" s="19" t="s">
        <v>71</v>
      </c>
      <c r="B41" s="43" t="n">
        <v>0</v>
      </c>
      <c r="C41" s="43" t="n">
        <v>0.578947368421053</v>
      </c>
      <c r="D41" s="43" t="n">
        <v>0</v>
      </c>
      <c r="E41" s="43" t="n">
        <v>0</v>
      </c>
      <c r="F41" s="43" t="n">
        <v>0</v>
      </c>
    </row>
    <row r="42" customFormat="false" ht="17.35" hidden="false" customHeight="false" outlineLevel="0" collapsed="false">
      <c r="A42" s="19" t="s">
        <v>74</v>
      </c>
      <c r="B42" s="43" t="n">
        <v>0</v>
      </c>
      <c r="C42" s="43" t="n">
        <v>0</v>
      </c>
      <c r="D42" s="43" t="n">
        <v>0.578947368421053</v>
      </c>
      <c r="E42" s="43" t="n">
        <v>0</v>
      </c>
      <c r="F42" s="43" t="n">
        <v>0</v>
      </c>
    </row>
    <row r="43" customFormat="false" ht="17.35" hidden="false" customHeight="false" outlineLevel="0" collapsed="false">
      <c r="A43" s="19" t="s">
        <v>75</v>
      </c>
      <c r="B43" s="43" t="n">
        <v>0</v>
      </c>
      <c r="C43" s="43" t="n">
        <v>0</v>
      </c>
      <c r="D43" s="43" t="n">
        <v>0</v>
      </c>
      <c r="E43" s="43" t="n">
        <v>0.578947368421053</v>
      </c>
      <c r="F43" s="43" t="n">
        <v>0</v>
      </c>
    </row>
    <row r="44" customFormat="false" ht="17.35" hidden="false" customHeight="false" outlineLevel="0" collapsed="false">
      <c r="A44" s="19" t="s">
        <v>70</v>
      </c>
      <c r="B44" s="43" t="n">
        <v>0</v>
      </c>
      <c r="C44" s="43" t="n">
        <v>0</v>
      </c>
      <c r="D44" s="43" t="n">
        <v>0</v>
      </c>
      <c r="E44" s="43" t="n">
        <v>0</v>
      </c>
      <c r="F44" s="43" t="n">
        <v>0.578947368421053</v>
      </c>
    </row>
  </sheetData>
  <mergeCells count="6">
    <mergeCell ref="C1:E3"/>
    <mergeCell ref="C4:E5"/>
    <mergeCell ref="A7:F7"/>
    <mergeCell ref="A18:F18"/>
    <mergeCell ref="A27:F27"/>
    <mergeCell ref="A37:F3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224</TotalTime>
  <Application>LibreOffice/25.8.4.2$MacOSX_X86_64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2026-08-29T13:41:59Z</dcterms:created>
  <dc:creator/>
  <dc:description/>
  <dc:language>es-ES</dc:language>
  <cp:lastModifiedBy/>
  <dcterms:modified xsi:type="dcterms:W3CDTF">2026-09-01T02:38:12Z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