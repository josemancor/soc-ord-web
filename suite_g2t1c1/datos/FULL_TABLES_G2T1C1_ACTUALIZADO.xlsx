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1.Datos_Primarios" sheetId="1" state="visible" r:id="rId3"/>
    <sheet name="2.Gramatica_Q81_9x9" sheetId="2" state="visible" r:id="rId4"/>
    <sheet name="3.Sintesis_Densidad" sheetId="3" state="visible" r:id="rId5"/>
    <sheet name="4.Matrices_SDR_BDR_NxN" sheetId="4" state="visible" r:id="rId6"/>
    <sheet name="5.Sintesis_MESO_10Sujetos" sheetId="5" state="visible" r:id="rId7"/>
    <sheet name="6.Estadisticas_Factoriales" sheetId="6" state="visible" r:id="rId8"/>
    <sheet name="7.Grassmann_Espectral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<sst xmlns="http://schemas.openxmlformats.org/spreadsheetml/2006/main" count="469" uniqueCount="278">
  <si>
    <t xml:space="preserve">TABLA 1. ESTRUCTURA DUAL DE DATOS, EQUIVALENCIA BREVE-MORENO Y MATRICES SMIb / SMIa</t>
  </si>
  <si>
    <t xml:space="preserve">Estudio Empírico G2T1C1 (N=5) | Plataforma VISORD / NEX_ORD (2026)</t>
  </si>
  <si>
    <t xml:space="preserve">GRUPO 1 (G1: Cohesionado / Subgrupos)</t>
  </si>
  <si>
    <t xml:space="preserve">ID</t>
  </si>
  <si>
    <t xml:space="preserve">1º</t>
  </si>
  <si>
    <t xml:space="preserve">2º</t>
  </si>
  <si>
    <t xml:space="preserve">3º</t>
  </si>
  <si>
    <t xml:space="preserve">4º</t>
  </si>
  <si>
    <t xml:space="preserve">5º</t>
  </si>
  <si>
    <t xml:space="preserve">E</t>
  </si>
  <si>
    <t xml:space="preserve">R</t>
  </si>
  <si>
    <t xml:space="preserve">pE</t>
  </si>
  <si>
    <t xml:space="preserve">pR</t>
  </si>
  <si>
    <t xml:space="preserve">αE</t>
  </si>
  <si>
    <t xml:space="preserve">ωE</t>
  </si>
  <si>
    <t xml:space="preserve">MATRIZ SMIb Instrumental (A1 A2 A3 A4)</t>
  </si>
  <si>
    <t xml:space="preserve">MATRIZ SMIa Integrada (Q81)</t>
  </si>
  <si>
    <t xml:space="preserve">1A</t>
  </si>
  <si>
    <t xml:space="preserve">1, 2</t>
  </si>
  <si>
    <t xml:space="preserve">5, 4</t>
  </si>
  <si>
    <t xml:space="preserve">[AAAA, 0BB0, 0000, 0b00, aaaa]</t>
  </si>
  <si>
    <t xml:space="preserve">[&lt;Ee&gt;, ¡Ee!, ¡¿?!, ¡R?!, [Rr]]</t>
  </si>
  <si>
    <t xml:space="preserve">2A</t>
  </si>
  <si>
    <t xml:space="preserve">3, 1</t>
  </si>
  <si>
    <t xml:space="preserve">4, 5</t>
  </si>
  <si>
    <t xml:space="preserve">[0BB0, 0000, AAAA, aaa0, 0b00]</t>
  </si>
  <si>
    <t xml:space="preserve">[¡Ee!, &lt;Ee&gt;, &lt;Ee&gt;, [Rr]!, ¡R?!]</t>
  </si>
  <si>
    <t xml:space="preserve">3A</t>
  </si>
  <si>
    <t xml:space="preserve">2, 3</t>
  </si>
  <si>
    <t xml:space="preserve">[0000, AAAA, 0BB0, aaaa, 0bb0]</t>
  </si>
  <si>
    <t xml:space="preserve">[¡¿?!, &lt;Ee&gt;, ¡Ee!, [Rr], ¡Rr!]</t>
  </si>
  <si>
    <t xml:space="preserve">4A</t>
  </si>
  <si>
    <t xml:space="preserve">3, 2</t>
  </si>
  <si>
    <t xml:space="preserve">[00c0, 0baa, aabb, AAAA, 0BB0]</t>
  </si>
  <si>
    <t xml:space="preserve">[¡¿r!, ¡Rr], [Rr], &lt;Ee&gt;, ¡Ee!]</t>
  </si>
  <si>
    <t xml:space="preserve">5A</t>
  </si>
  <si>
    <t xml:space="preserve">1, 3</t>
  </si>
  <si>
    <t xml:space="preserve">[aaaa, 00b0, 0bc0, 0BB0, AAAA]</t>
  </si>
  <si>
    <t xml:space="preserve">[[Rr], ¡¿r!, ¡Rr!, ¡Ee!, &lt;Ee&gt;]</t>
  </si>
  <si>
    <t xml:space="preserve">GRUPO 2 (G2: Disfuncional / Ostracismo)</t>
  </si>
  <si>
    <t xml:space="preserve">1B</t>
  </si>
  <si>
    <t xml:space="preserve">[AAAA, 0BB0, 0000, 0bb0, aaaa]</t>
  </si>
  <si>
    <t xml:space="preserve">[&lt;Ee&gt;, ¡Ee!, ¡¿?!, ¡Rr!, [Rr]]</t>
  </si>
  <si>
    <t xml:space="preserve">2B</t>
  </si>
  <si>
    <t xml:space="preserve">2, 1</t>
  </si>
  <si>
    <t xml:space="preserve">[0BB0, AAAA, 00C0, 0b00, aa00]</t>
  </si>
  <si>
    <t xml:space="preserve">[¡Ee!, &lt;Ee&gt;, ¡¿e!, ¡R?!, [R?!]]</t>
  </si>
  <si>
    <t xml:space="preserve">3B</t>
  </si>
  <si>
    <t xml:space="preserve">[0000, 0B00, AAAA, 0Bb0, aaa0]</t>
  </si>
  <si>
    <t xml:space="preserve">[¡¿?!, ¡E?!, &lt;Ee&gt;, ¡Re!, [Rr]]</t>
  </si>
  <si>
    <t xml:space="preserve">4B</t>
  </si>
  <si>
    <t xml:space="preserve">4, 3</t>
  </si>
  <si>
    <t xml:space="preserve">5, 1</t>
  </si>
  <si>
    <t xml:space="preserve">[0ba0, 00b0, 0BC0, AAAA, aaB0]</t>
  </si>
  <si>
    <t xml:space="preserve">[¡Rr!, ¡¿r!, ¡Er!, &lt;Ee&gt;, [Re!]</t>
  </si>
  <si>
    <t xml:space="preserve">5B</t>
  </si>
  <si>
    <t xml:space="preserve">[aaaa, 00bb, 0bcc, 0Bdd, AAAA]</t>
  </si>
  <si>
    <t xml:space="preserve">[[Rr], ¡¿r], ¡Rr], ¡Er], &lt;Ee&gt;]</t>
  </si>
  <si>
    <t xml:space="preserve">FIGURA 2 / TABLA 2. RETÍCULA CANÓNICA 9x9 DE NUMERALIZACIÓN DE LAS Q81 FIGURAS</t>
  </si>
  <si>
    <t xml:space="preserve">Producto Cartesiano DA (Filas) x RECIBE (Columnas) | Orden Monótono de Valencia Q: 81 -&gt; 1</t>
  </si>
  <si>
    <t xml:space="preserve">DA \ REC</t>
  </si>
  <si>
    <t xml:space="preserve">e&gt;</t>
  </si>
  <si>
    <t xml:space="preserve">e!</t>
  </si>
  <si>
    <t xml:space="preserve">e]</t>
  </si>
  <si>
    <t xml:space="preserve">?&gt;</t>
  </si>
  <si>
    <t xml:space="preserve">?!</t>
  </si>
  <si>
    <t xml:space="preserve">?]</t>
  </si>
  <si>
    <t xml:space="preserve">r&gt;</t>
  </si>
  <si>
    <t xml:space="preserve">r!</t>
  </si>
  <si>
    <t xml:space="preserve">r]</t>
  </si>
  <si>
    <t xml:space="preserve">&lt;E</t>
  </si>
  <si>
    <t xml:space="preserve">81 &lt;Ee&gt;</t>
  </si>
  <si>
    <t xml:space="preserve">80 &lt;Ee!</t>
  </si>
  <si>
    <t xml:space="preserve">78 &lt;Ee]</t>
  </si>
  <si>
    <t xml:space="preserve">75 &lt;E?&gt;</t>
  </si>
  <si>
    <t xml:space="preserve">71 &lt;E?!</t>
  </si>
  <si>
    <t xml:space="preserve">66 &lt;E?]</t>
  </si>
  <si>
    <t xml:space="preserve">60 &lt;Er&gt;</t>
  </si>
  <si>
    <t xml:space="preserve">53 &lt;Er!</t>
  </si>
  <si>
    <t xml:space="preserve">45 &lt;Er]</t>
  </si>
  <si>
    <t xml:space="preserve">¡E</t>
  </si>
  <si>
    <t xml:space="preserve">79 ¡Ee&gt;</t>
  </si>
  <si>
    <t xml:space="preserve">77 ¡Ee!</t>
  </si>
  <si>
    <t xml:space="preserve">74 ¡Ee]</t>
  </si>
  <si>
    <t xml:space="preserve">70 ¡E?&gt;</t>
  </si>
  <si>
    <t xml:space="preserve">65 ¡E?!</t>
  </si>
  <si>
    <t xml:space="preserve">59 ¡E?]</t>
  </si>
  <si>
    <t xml:space="preserve">52 ¡Er&gt;</t>
  </si>
  <si>
    <t xml:space="preserve">44 ¡Er!</t>
  </si>
  <si>
    <t xml:space="preserve">36 ¡Er]</t>
  </si>
  <si>
    <t xml:space="preserve">[E</t>
  </si>
  <si>
    <t xml:space="preserve">76 [Ee&gt;</t>
  </si>
  <si>
    <t xml:space="preserve">73 [Ee!</t>
  </si>
  <si>
    <t xml:space="preserve">69 [Ee]</t>
  </si>
  <si>
    <t xml:space="preserve">64 [E?&gt;</t>
  </si>
  <si>
    <t xml:space="preserve">58 [E?!</t>
  </si>
  <si>
    <t xml:space="preserve">51 [E?]</t>
  </si>
  <si>
    <t xml:space="preserve">43 [Er&gt;</t>
  </si>
  <si>
    <t xml:space="preserve">35 [Er!</t>
  </si>
  <si>
    <t xml:space="preserve">28 [Er]</t>
  </si>
  <si>
    <t xml:space="preserve">&lt;¿</t>
  </si>
  <si>
    <t xml:space="preserve">72 &lt;¿e&gt;</t>
  </si>
  <si>
    <t xml:space="preserve">68 &lt;¿e!</t>
  </si>
  <si>
    <t xml:space="preserve">63 &lt;¿e]</t>
  </si>
  <si>
    <t xml:space="preserve">57 &lt;¿?&gt;</t>
  </si>
  <si>
    <t xml:space="preserve">50 &lt;¿?!</t>
  </si>
  <si>
    <t xml:space="preserve">42 &lt;¿?]</t>
  </si>
  <si>
    <t xml:space="preserve">34 &lt;¿r&gt;</t>
  </si>
  <si>
    <t xml:space="preserve">27 &lt;¿r!</t>
  </si>
  <si>
    <t xml:space="preserve">21 &lt;¿r]</t>
  </si>
  <si>
    <t xml:space="preserve">¡¿</t>
  </si>
  <si>
    <t xml:space="preserve">67 ¡¿e&gt;</t>
  </si>
  <si>
    <t xml:space="preserve">62 ¡¿e!</t>
  </si>
  <si>
    <t xml:space="preserve">56 ¡¿e]</t>
  </si>
  <si>
    <t xml:space="preserve">49 ¡¿?&gt;</t>
  </si>
  <si>
    <t xml:space="preserve">41 ¡¿?!</t>
  </si>
  <si>
    <t xml:space="preserve">33 ¡¿?]</t>
  </si>
  <si>
    <t xml:space="preserve">26 ¡¿r&gt;</t>
  </si>
  <si>
    <t xml:space="preserve">20 ¡¿r!</t>
  </si>
  <si>
    <t xml:space="preserve">15 ¡¿r]</t>
  </si>
  <si>
    <t xml:space="preserve">[¿</t>
  </si>
  <si>
    <t xml:space="preserve">61 [¿e&gt;</t>
  </si>
  <si>
    <t xml:space="preserve">55 [¿e!</t>
  </si>
  <si>
    <t xml:space="preserve">48 [¿e]</t>
  </si>
  <si>
    <t xml:space="preserve">40 [¿?&gt;</t>
  </si>
  <si>
    <t xml:space="preserve">32 [¿?!</t>
  </si>
  <si>
    <t xml:space="preserve">25 [¿?]</t>
  </si>
  <si>
    <t xml:space="preserve">19 [¿r&gt;</t>
  </si>
  <si>
    <t xml:space="preserve">14 [¿r!</t>
  </si>
  <si>
    <t xml:space="preserve">10 [¿r]</t>
  </si>
  <si>
    <t xml:space="preserve">&lt;R</t>
  </si>
  <si>
    <t xml:space="preserve">54 &lt;Re&gt;</t>
  </si>
  <si>
    <t xml:space="preserve">47 &lt;Re!</t>
  </si>
  <si>
    <t xml:space="preserve">39 &lt;Re]</t>
  </si>
  <si>
    <t xml:space="preserve">31 &lt;R?&gt;</t>
  </si>
  <si>
    <t xml:space="preserve">24 &lt;R?!</t>
  </si>
  <si>
    <t xml:space="preserve">18 &lt;R?]</t>
  </si>
  <si>
    <t xml:space="preserve">13 &lt;Rr&gt;</t>
  </si>
  <si>
    <t xml:space="preserve">9 &lt;Rr!</t>
  </si>
  <si>
    <t xml:space="preserve">6 &lt;Rr]</t>
  </si>
  <si>
    <t xml:space="preserve">¡R</t>
  </si>
  <si>
    <t xml:space="preserve">46 ¡Re&gt;</t>
  </si>
  <si>
    <t xml:space="preserve">38 ¡Re!</t>
  </si>
  <si>
    <t xml:space="preserve">30 ¡Re]</t>
  </si>
  <si>
    <t xml:space="preserve">23 ¡R?&gt;</t>
  </si>
  <si>
    <t xml:space="preserve">17 ¡R?!</t>
  </si>
  <si>
    <t xml:space="preserve">12 ¡R?]</t>
  </si>
  <si>
    <t xml:space="preserve">8 ¡Rr&gt;</t>
  </si>
  <si>
    <t xml:space="preserve">5 ¡Rr!</t>
  </si>
  <si>
    <t xml:space="preserve">3 ¡Rr]</t>
  </si>
  <si>
    <t xml:space="preserve">[R</t>
  </si>
  <si>
    <t xml:space="preserve">37 [Re&gt;</t>
  </si>
  <si>
    <t xml:space="preserve">29 [Re!</t>
  </si>
  <si>
    <t xml:space="preserve">22 [Re]</t>
  </si>
  <si>
    <t xml:space="preserve">16 [R?&gt;</t>
  </si>
  <si>
    <t xml:space="preserve">11 [R?!</t>
  </si>
  <si>
    <t xml:space="preserve">7 [R?]</t>
  </si>
  <si>
    <t xml:space="preserve">4 [Rr&gt;</t>
  </si>
  <si>
    <t xml:space="preserve">2 [Rr!</t>
  </si>
  <si>
    <t xml:space="preserve">1 [Rr]</t>
  </si>
  <si>
    <t xml:space="preserve">TABLA 3. SÍNTESIS DE DENSIDAD RELACIONAL Y DESCOMPOSICIÓN SOCIO-TERMODINÁMICA</t>
  </si>
  <si>
    <t xml:space="preserve">Formato Limpio con Fila Superior de Frecuencias/Pesos en Cabecera | G1 vs G2</t>
  </si>
  <si>
    <t xml:space="preserve">A1</t>
  </si>
  <si>
    <t xml:space="preserve">A2</t>
  </si>
  <si>
    <t xml:space="preserve">A3</t>
  </si>
  <si>
    <t xml:space="preserve">A4</t>
  </si>
  <si>
    <t xml:space="preserve">SDA (A1+A2)</t>
  </si>
  <si>
    <t xml:space="preserve">Dif (SRC-SDA)</t>
  </si>
  <si>
    <t xml:space="preserve">SRC (A3+A4)</t>
  </si>
  <si>
    <t xml:space="preserve">SDR (SDA+SRC)</t>
  </si>
  <si>
    <t xml:space="preserve">BDA (|A1|+|A2|)</t>
  </si>
  <si>
    <t xml:space="preserve">Dif (BRC-BDA)</t>
  </si>
  <si>
    <t xml:space="preserve">BRC (|A3|+|A4|)</t>
  </si>
  <si>
    <t xml:space="preserve">BDR (BDA+BRC)</t>
  </si>
  <si>
    <t xml:space="preserve">Dif_DR (BDR-SDR)</t>
  </si>
  <si>
    <t xml:space="preserve">Frecuencia (n)</t>
  </si>
  <si>
    <t xml:space="preserve">5</t>
  </si>
  <si>
    <t xml:space="preserve">10</t>
  </si>
  <si>
    <t xml:space="preserve">—</t>
  </si>
  <si>
    <t xml:space="preserve">20</t>
  </si>
  <si>
    <t xml:space="preserve">Media G1</t>
  </si>
  <si>
    <t xml:space="preserve">Media G2</t>
  </si>
  <si>
    <t xml:space="preserve">TABLA 4. MATRICES  (NxN) DE DENSIDAD RELACIONAL SDR (Relativa) BDR (Absoluta)</t>
  </si>
  <si>
    <t xml:space="preserve">G1 (SDR)</t>
  </si>
  <si>
    <t xml:space="preserve">media</t>
  </si>
  <si>
    <t xml:space="preserve">G1 (BDR)</t>
  </si>
  <si>
    <t xml:space="preserve">Frecuencia</t>
  </si>
  <si>
    <t xml:space="preserve">G2 (SDR)</t>
  </si>
  <si>
    <t xml:space="preserve">G2 (BDR)</t>
  </si>
  <si>
    <t xml:space="preserve">TABLA 5. SÍNTESIS COMPARATIVA INTERGRUPAL A NIVEL MESO (10 SUJETOS x 6 VARIABLES)</t>
  </si>
  <si>
    <t xml:space="preserve">Articulación entre Nivel Macro Ecosistémico y Nivel Micro Diádico | VISORD 2026</t>
  </si>
  <si>
    <t xml:space="preserve">ID Nodo</t>
  </si>
  <si>
    <t xml:space="preserve">Grupo</t>
  </si>
  <si>
    <t xml:space="preserve">SDA (Dada)</t>
  </si>
  <si>
    <t xml:space="preserve">SRC (Recibida)</t>
  </si>
  <si>
    <t xml:space="preserve">SDR (Neta)</t>
  </si>
  <si>
    <t xml:space="preserve">BDR (Bruta)</t>
  </si>
  <si>
    <t xml:space="preserve">Dif_DR (Tensión)</t>
  </si>
  <si>
    <t xml:space="preserve">Rol Estructural / Diagnóstico MESO</t>
  </si>
  <si>
    <t xml:space="preserve">G1</t>
  </si>
  <si>
    <t xml:space="preserve">Periferia Cohesiva del Núcleo {1,2,3}</t>
  </si>
  <si>
    <t xml:space="preserve">Centroide Atractor Máximo (Líder Socio-Afectivo)</t>
  </si>
  <si>
    <t xml:space="preserve">Nodo Puente Integrador (Vínculo {1,2,3} &lt;-&gt; {4,5})</t>
  </si>
  <si>
    <t xml:space="preserve">Subgrupo Secundario {4,5} (Polo Simétrico)</t>
  </si>
  <si>
    <t xml:space="preserve">G2</t>
  </si>
  <si>
    <t xml:space="preserve">Centroide Intermedio Inestable</t>
  </si>
  <si>
    <t xml:space="preserve">Atractor Unilateral (Sobrecarga de Estatus)</t>
  </si>
  <si>
    <t xml:space="preserve">Centroide Intermedio Desacoplado</t>
  </si>
  <si>
    <t xml:space="preserve">Periferia en Tensión / Polarización</t>
  </si>
  <si>
    <t xml:space="preserve">🚨 Ostracismo Crítico / Anulación de Agencia</t>
  </si>
  <si>
    <t xml:space="preserve">TABLA 6. ESTADÍSTICAS FACTORIALES DE BENZÉCRI / CORNEJO (1988): COORDENADAS, COR Y CTA</t>
  </si>
  <si>
    <t xml:space="preserve">Descomposición Factorial de Inercia | Coordenadas F1/F2, Cosenos Cuadrados (cos²) y Contribuciones (%)</t>
  </si>
  <si>
    <t xml:space="preserve">Sujeto</t>
  </si>
  <si>
    <t xml:space="preserve">Coord F1</t>
  </si>
  <si>
    <t xml:space="preserve">Coord F2</t>
  </si>
  <si>
    <t xml:space="preserve">COR F1 (cos²)</t>
  </si>
  <si>
    <t xml:space="preserve">COR F2 (cos²)</t>
  </si>
  <si>
    <t xml:space="preserve">CTA F1 (%)</t>
  </si>
  <si>
    <t xml:space="preserve">CTA F2 (%)</t>
  </si>
  <si>
    <t xml:space="preserve">1A1a</t>
  </si>
  <si>
    <t xml:space="preserve">2A1a</t>
  </si>
  <si>
    <t xml:space="preserve">3A1a</t>
  </si>
  <si>
    <t xml:space="preserve">4A1a</t>
  </si>
  <si>
    <t xml:space="preserve">5A1a</t>
  </si>
  <si>
    <t xml:space="preserve">1B1a</t>
  </si>
  <si>
    <t xml:space="preserve">2B1a</t>
  </si>
  <si>
    <t xml:space="preserve">3B1a</t>
  </si>
  <si>
    <t xml:space="preserve">4B1a</t>
  </si>
  <si>
    <t xml:space="preserve">5B1a</t>
  </si>
  <si>
    <t xml:space="preserve">Tabla 8. TOPOLOGÍA EN GRASSMANN Gr(2,5) E INDICADORES ESPECTRALES LAPLACIANOS</t>
  </si>
  <si>
    <t xml:space="preserve">Métricas Invariantes de Separación Estructural y Salud Relacional | VISORD Engine</t>
  </si>
  <si>
    <t xml:space="preserve">Descriptor Topológico / Espectral</t>
  </si>
  <si>
    <t xml:space="preserve">Grupo 1 (G1)</t>
  </si>
  <si>
    <t xml:space="preserve">Grupo 2 (G2)</t>
  </si>
  <si>
    <t xml:space="preserve">Significación e Interpretación Psicosocial</t>
  </si>
  <si>
    <t xml:space="preserve">Densidad Absoluta (BDR)   </t>
  </si>
  <si>
    <t xml:space="preserve">40.02</t>
  </si>
  <si>
    <t xml:space="preserve">40.00</t>
  </si>
  <si>
    <t xml:space="preserve">Inversión relacional bruta equivalente en ambos colectivos.</t>
  </si>
  <si>
    <t xml:space="preserve">Densidad Relativa (SDR)   </t>
  </si>
  <si>
    <t xml:space="preserve">-15.74</t>
  </si>
  <si>
    <t xml:space="preserve">-34.42</t>
  </si>
  <si>
    <t xml:space="preserve">Estructura de reciprocidad simétrica superior en G1.</t>
  </si>
  <si>
    <t xml:space="preserve">Entropía Estructural (H_soc)   </t>
  </si>
  <si>
    <t xml:space="preserve">1.251</t>
  </si>
  <si>
    <t xml:space="preserve">1.986</t>
  </si>
  <si>
    <t xml:space="preserve">Elevado desorden y fragmentación anárquica en G2.</t>
  </si>
  <si>
    <t xml:space="preserve">Inconsistencia Relacional (IIR)   </t>
  </si>
  <si>
    <t xml:space="preserve">0.00</t>
  </si>
  <si>
    <t xml:space="preserve">1.36</t>
  </si>
  <si>
    <t xml:space="preserve">Mapas mentales transparentes en G1 vs sesgo proyectivo en G2.</t>
  </si>
  <si>
    <t xml:space="preserve">Saturación de Vacío (ISV₅)   </t>
  </si>
  <si>
    <t xml:space="preserve">0.20</t>
  </si>
  <si>
    <t xml:space="preserve">10.00</t>
  </si>
  <si>
    <t xml:space="preserve">Alerta crítica de ostracismo sobre el Sujeto 5B en G2.</t>
  </si>
  <si>
    <t xml:space="preserve">Ángulos Principales Grassmann    </t>
  </si>
  <si>
    <t xml:space="preserve">θ1 = 45.10°, θ2 = 88.31°</t>
  </si>
  <si>
    <t xml:space="preserve">Ángulos de Jordan entre los subespacios relacionales.</t>
  </si>
  <si>
    <t xml:space="preserve">Distancia Geodésica d_G(G1,G2)    </t>
  </si>
  <si>
    <t xml:space="preserve">1.7307 rad (99.16°)</t>
  </si>
  <si>
    <t xml:space="preserve">1.4550 rad (83.36°)</t>
  </si>
  <si>
    <t xml:space="preserve">Separación estructural casi ortogonal en Gr(2,5).</t>
  </si>
  <si>
    <t xml:space="preserve">Distancia Cordal d_C(G1,G2)   </t>
  </si>
  <si>
    <t xml:space="preserve">1.2251</t>
  </si>
  <si>
    <t xml:space="preserve">0.9935</t>
  </si>
  <si>
    <t xml:space="preserve">Métrica cordal invariante a la escala.</t>
  </si>
  <si>
    <t xml:space="preserve">Conectividad de Fiedler (λ2)   </t>
  </si>
  <si>
    <t xml:space="preserve">0.000 (Bipolar)</t>
  </si>
  <si>
    <t xml:space="preserve">0.816 (Estrella)</t>
  </si>
  <si>
    <t xml:space="preserve">G1 particionado en subgrupos; G2 articulado por 2B.</t>
  </si>
  <si>
    <t xml:space="preserve">Frustración de Heider (λ1)   </t>
  </si>
  <si>
    <t xml:space="preserve">0.082 (Baja)</t>
  </si>
  <si>
    <t xml:space="preserve">0.597 (Alta)</t>
  </si>
  <si>
    <t xml:space="preserve">Tensión difusa no polarizable y rechazos cruzados en G2.</t>
  </si>
  <si>
    <t xml:space="preserve">Traza Triádica Tr(W³)   </t>
  </si>
  <si>
    <t xml:space="preserve">+12.43 (Positiva)</t>
  </si>
  <si>
    <t xml:space="preserve">-4.79 (Negativa)</t>
  </si>
  <si>
    <t xml:space="preserve">Tríadas armónicas en G1 vs predominio disonante en G2.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</si>
</sst>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3A8A"/>
      <name val="Arial"/>
      <family val="2"/>
      <charset val="1"/>
    </font>
    <font>
      <i val="true"/>
      <sz val="10"/>
      <color rgb="FF475569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1E3A8A"/>
      <name val="Arial"/>
      <family val="2"/>
      <charset val="1"/>
    </font>
    <font>
      <sz val="10"/>
      <color rgb="FF0F172A"/>
      <name val="Arial"/>
      <family val="2"/>
      <charset val="1"/>
    </font>
    <font>
      <b val="true"/>
      <sz val="10"/>
      <color rgb="FF991B1B"/>
      <name val="Arial"/>
      <family val="2"/>
      <charset val="1"/>
    </font>
    <font>
      <b val="true"/>
      <sz val="9"/>
      <color rgb="FF15803D"/>
      <name val="Arial"/>
      <family val="2"/>
      <charset val="1"/>
    </font>
    <font>
      <b val="true"/>
      <sz val="9"/>
      <color rgb="FF854D0E"/>
      <name val="Arial"/>
      <family val="2"/>
      <charset val="1"/>
    </font>
    <font>
      <b val="true"/>
      <sz val="9"/>
      <color rgb="FF991B1B"/>
      <name val="Arial"/>
      <family val="2"/>
      <charset val="1"/>
    </font>
    <font>
      <i val="true"/>
      <sz val="9"/>
      <color rgb="FF475569"/>
      <name val="Arial"/>
      <family val="2"/>
      <charset val="1"/>
    </font>
    <font>
      <b val="true"/>
      <sz val="10"/>
      <color rgb="FF9A3412"/>
      <name val="Arial"/>
      <family val="2"/>
      <charset val="1"/>
    </font>
    <font>
      <sz val="8"/>
      <color theme="1"/>
      <name val="Calibri"/>
      <family val="2"/>
      <charset val="1"/>
    </font>
    <font>
      <b val="true"/>
      <sz val="8"/>
      <color rgb="FF1E3A8A"/>
      <name val="Arial"/>
      <family val="2"/>
      <charset val="1"/>
    </font>
    <font>
      <b val="true"/>
      <sz val="8"/>
      <color rgb="FFFFFFFF"/>
      <name val="Arial"/>
      <family val="2"/>
      <charset val="1"/>
    </font>
    <font>
      <sz val="7"/>
      <color rgb="FF1E3A8A"/>
      <name val="Arial"/>
      <family val="2"/>
      <charset val="1"/>
    </font>
    <font>
      <i val="true"/>
      <sz val="8"/>
      <color rgb="FF475569"/>
      <name val="Arial"/>
      <family val="2"/>
      <charset val="1"/>
    </font>
    <font>
      <b val="true"/>
      <sz val="8"/>
      <color rgb="FF15803D"/>
      <name val="Arial"/>
      <family val="2"/>
      <charset val="1"/>
    </font>
    <font>
      <sz val="8"/>
      <color rgb="FF0F172A"/>
      <name val="Arial"/>
      <family val="2"/>
      <charset val="1"/>
    </font>
    <font>
      <b val="true"/>
      <sz val="8"/>
      <color theme="1"/>
      <name val="Calibri"/>
      <family val="2"/>
      <charset val="1"/>
    </font>
    <font>
      <sz val="8"/>
      <color rgb="FF1E3A8A"/>
      <name val="Arial"/>
      <family val="2"/>
      <charset val="1"/>
    </font>
    <font>
      <b val="true"/>
      <sz val="8"/>
      <color rgb="FF9A3412"/>
      <name val="Arial"/>
      <family val="2"/>
      <charset val="1"/>
    </font>
    <font>
      <b val="true"/>
      <sz val="7"/>
      <color rgb="FF1E3A8A"/>
      <name val="Arial"/>
      <family val="2"/>
      <charset val="1"/>
    </font>
    <font>
      <b val="true"/>
      <sz val="8"/>
      <color rgb="FF991B1B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E0E7FF"/>
        <bgColor rgb="FFF1F5F9"/>
      </patternFill>
    </fill>
    <fill>
      <patternFill patternType="solid">
        <fgColor rgb="FFFFFFFF"/>
        <bgColor rgb="FFF8FAFC"/>
      </patternFill>
    </fill>
    <fill>
      <patternFill patternType="solid">
        <fgColor rgb="FF334155"/>
        <bgColor rgb="FF475569"/>
      </patternFill>
    </fill>
    <fill>
      <patternFill patternType="solid">
        <fgColor rgb="FFFEE2E2"/>
        <bgColor rgb="FFFFEDD5"/>
      </patternFill>
    </fill>
    <fill>
      <patternFill patternType="solid">
        <fgColor rgb="FFE9B913"/>
        <bgColor rgb="FFF5CD53"/>
      </patternFill>
    </fill>
    <fill>
      <patternFill patternType="solid">
        <fgColor rgb="FFFFD74C"/>
        <bgColor rgb="FFF5CD53"/>
      </patternFill>
    </fill>
    <fill>
      <patternFill patternType="solid">
        <fgColor rgb="FFFDE9A9"/>
        <bgColor rgb="FFFEF3C7"/>
      </patternFill>
    </fill>
    <fill>
      <patternFill patternType="solid">
        <fgColor rgb="FFF5CD53"/>
        <bgColor rgb="FFFFD74C"/>
      </patternFill>
    </fill>
    <fill>
      <patternFill patternType="solid">
        <fgColor rgb="FFCC77C7"/>
        <bgColor rgb="FFDC85E9"/>
      </patternFill>
    </fill>
    <fill>
      <patternFill patternType="solid">
        <fgColor rgb="FFDC85E9"/>
        <bgColor rgb="FFCC77C7"/>
      </patternFill>
    </fill>
    <fill>
      <patternFill patternType="solid">
        <fgColor rgb="FFF1F5F9"/>
        <bgColor rgb="FFF8FAFC"/>
      </patternFill>
    </fill>
    <fill>
      <patternFill patternType="solid">
        <fgColor rgb="FFFFEDD5"/>
        <bgColor rgb="FFFEF3C7"/>
      </patternFill>
    </fill>
    <fill>
      <patternFill patternType="solid">
        <fgColor rgb="FFFEF3C7"/>
        <bgColor rgb="FFFFEDD5"/>
      </patternFill>
    </fill>
    <fill>
      <patternFill patternType="solid">
        <fgColor rgb="FFF8FAF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5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D74C"/>
      <rgbColor rgb="FFFF00FF"/>
      <rgbColor rgb="FF00FFFF"/>
      <rgbColor rgb="FF991B1B"/>
      <rgbColor rgb="FF15803D"/>
      <rgbColor rgb="FF000080"/>
      <rgbColor rgb="FF808000"/>
      <rgbColor rgb="FF800080"/>
      <rgbColor rgb="FF008080"/>
      <rgbColor rgb="FFFFEDD5"/>
      <rgbColor rgb="FF808080"/>
      <rgbColor rgb="FF9999FF"/>
      <rgbColor rgb="FF854D0E"/>
      <rgbColor rgb="FFFEF3C7"/>
      <rgbColor rgb="FFE0E7FF"/>
      <rgbColor rgb="FF660066"/>
      <rgbColor rgb="FFCC77C7"/>
      <rgbColor rgb="FF0066CC"/>
      <rgbColor rgb="FFFEE2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5F9"/>
      <rgbColor rgb="FFF8FAFC"/>
      <rgbColor rgb="FFFDE9A9"/>
      <rgbColor rgb="FF99CCFF"/>
      <rgbColor rgb="FFFF99CC"/>
      <rgbColor rgb="FFDC85E9"/>
      <rgbColor rgb="FFF5CD53"/>
      <rgbColor rgb="FF3366FF"/>
      <rgbColor rgb="FF33CCCC"/>
      <rgbColor rgb="FF99CC00"/>
      <rgbColor rgb="FFE9B913"/>
      <rgbColor rgb="FFFF9900"/>
      <rgbColor rgb="FFFF6600"/>
      <rgbColor rgb="FF475569"/>
      <rgbColor rgb="FF969696"/>
      <rgbColor rgb="FF003366"/>
      <rgbColor rgb="FF339966"/>
      <rgbColor rgb="FF0F172A"/>
      <rgbColor rgb="FF333300"/>
      <rgbColor rgb="FF9A3412"/>
      <rgbColor rgb="FF993366"/>
      <rgbColor rgb="FF1E3A8A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"/>
  <sheetViews>
    <sheetView showFormulas="false" showGridLines="true" showRowColHeaders="true" showZeros="true" rightToLeft="false" tabSelected="false" showOutlineSymbols="true" defaultGridColor="true" view="normal" topLeftCell="A1" colorId="64" zoomScale="228" zoomScaleNormal="228" zoomScalePageLayoutView="100" workbookViewId="0">
      <selection pane="topLeft" activeCell="A1" activeCellId="0" sqref="A1"/>
    </sheetView>
  </sheetViews>
  <sheetFormatPr defaultColWidth="8.60546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6" min="2" style="0" width="5.71"/>
    <col collapsed="false" customWidth="true" hidden="false" outlineLevel="0" max="8" min="7" style="0" width="8.71"/>
    <col collapsed="false" customWidth="true" hidden="false" outlineLevel="0" max="12" min="9" style="0" width="6.71"/>
    <col collapsed="false" customWidth="true" hidden="false" outlineLevel="0" max="14" min="13" style="0" width="32.7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  <c r="N5" s="4" t="s">
        <v>16</v>
      </c>
    </row>
    <row r="6" customFormat="false" ht="15" hidden="false" customHeight="false" outlineLevel="0" collapsed="false">
      <c r="A6" s="5" t="s">
        <v>17</v>
      </c>
      <c r="B6" s="6" t="n">
        <v>1</v>
      </c>
      <c r="C6" s="6" t="n">
        <v>2</v>
      </c>
      <c r="D6" s="6" t="n">
        <v>3</v>
      </c>
      <c r="E6" s="6" t="n">
        <v>4</v>
      </c>
      <c r="F6" s="6" t="n">
        <v>5</v>
      </c>
      <c r="G6" s="6" t="s">
        <v>18</v>
      </c>
      <c r="H6" s="6" t="s">
        <v>19</v>
      </c>
      <c r="I6" s="6" t="n">
        <v>1</v>
      </c>
      <c r="J6" s="6" t="n">
        <v>5</v>
      </c>
      <c r="K6" s="6" t="n">
        <v>1</v>
      </c>
      <c r="L6" s="6" t="n">
        <v>5</v>
      </c>
      <c r="M6" s="6" t="s">
        <v>20</v>
      </c>
      <c r="N6" s="6" t="s">
        <v>21</v>
      </c>
    </row>
    <row r="7" customFormat="false" ht="15" hidden="false" customHeight="false" outlineLevel="0" collapsed="false">
      <c r="A7" s="5" t="s">
        <v>22</v>
      </c>
      <c r="B7" s="6" t="n">
        <v>3</v>
      </c>
      <c r="C7" s="6" t="n">
        <v>1</v>
      </c>
      <c r="D7" s="6" t="n">
        <v>2</v>
      </c>
      <c r="E7" s="6" t="n">
        <v>5</v>
      </c>
      <c r="F7" s="6" t="n">
        <v>4</v>
      </c>
      <c r="G7" s="6" t="s">
        <v>23</v>
      </c>
      <c r="H7" s="6" t="s">
        <v>24</v>
      </c>
      <c r="I7" s="6" t="n">
        <v>3</v>
      </c>
      <c r="J7" s="6" t="n">
        <v>4</v>
      </c>
      <c r="K7" s="6" t="n">
        <v>3</v>
      </c>
      <c r="L7" s="6" t="n">
        <v>4</v>
      </c>
      <c r="M7" s="6" t="s">
        <v>25</v>
      </c>
      <c r="N7" s="6" t="s">
        <v>26</v>
      </c>
    </row>
    <row r="8" customFormat="false" ht="15" hidden="false" customHeight="false" outlineLevel="0" collapsed="false">
      <c r="A8" s="5" t="s">
        <v>27</v>
      </c>
      <c r="B8" s="6" t="n">
        <v>2</v>
      </c>
      <c r="C8" s="6" t="n">
        <v>3</v>
      </c>
      <c r="D8" s="6" t="n">
        <v>1</v>
      </c>
      <c r="E8" s="6" t="n">
        <v>5</v>
      </c>
      <c r="F8" s="6" t="n">
        <v>4</v>
      </c>
      <c r="G8" s="6" t="s">
        <v>28</v>
      </c>
      <c r="H8" s="6" t="s">
        <v>24</v>
      </c>
      <c r="I8" s="6" t="n">
        <v>2</v>
      </c>
      <c r="J8" s="6" t="n">
        <v>4</v>
      </c>
      <c r="K8" s="6" t="n">
        <v>2</v>
      </c>
      <c r="L8" s="6" t="n">
        <v>4</v>
      </c>
      <c r="M8" s="6" t="s">
        <v>29</v>
      </c>
      <c r="N8" s="6" t="s">
        <v>30</v>
      </c>
    </row>
    <row r="9" customFormat="false" ht="15" hidden="false" customHeight="false" outlineLevel="0" collapsed="false">
      <c r="A9" s="5" t="s">
        <v>31</v>
      </c>
      <c r="B9" s="6" t="n">
        <v>4</v>
      </c>
      <c r="C9" s="6" t="n">
        <v>5</v>
      </c>
      <c r="D9" s="6" t="n">
        <v>1</v>
      </c>
      <c r="E9" s="6" t="n">
        <v>2</v>
      </c>
      <c r="F9" s="6" t="n">
        <v>3</v>
      </c>
      <c r="G9" s="6" t="s">
        <v>24</v>
      </c>
      <c r="H9" s="6" t="s">
        <v>32</v>
      </c>
      <c r="I9" s="6" t="n">
        <v>4</v>
      </c>
      <c r="J9" s="6" t="n">
        <v>3</v>
      </c>
      <c r="K9" s="6" t="n">
        <v>4</v>
      </c>
      <c r="L9" s="6" t="n">
        <v>3</v>
      </c>
      <c r="M9" s="6" t="s">
        <v>33</v>
      </c>
      <c r="N9" s="6" t="s">
        <v>34</v>
      </c>
    </row>
    <row r="10" customFormat="false" ht="15" hidden="false" customHeight="false" outlineLevel="0" collapsed="false">
      <c r="A10" s="5" t="s">
        <v>35</v>
      </c>
      <c r="B10" s="6" t="n">
        <v>5</v>
      </c>
      <c r="C10" s="6" t="n">
        <v>4</v>
      </c>
      <c r="D10" s="6" t="n">
        <v>2</v>
      </c>
      <c r="E10" s="6" t="n">
        <v>3</v>
      </c>
      <c r="F10" s="6" t="n">
        <v>1</v>
      </c>
      <c r="G10" s="6" t="s">
        <v>19</v>
      </c>
      <c r="H10" s="6" t="s">
        <v>36</v>
      </c>
      <c r="I10" s="6" t="n">
        <v>5</v>
      </c>
      <c r="J10" s="6" t="n">
        <v>1</v>
      </c>
      <c r="K10" s="6" t="n">
        <v>5</v>
      </c>
      <c r="L10" s="6" t="n">
        <v>1</v>
      </c>
      <c r="M10" s="6" t="s">
        <v>37</v>
      </c>
      <c r="N10" s="6" t="s">
        <v>38</v>
      </c>
    </row>
    <row r="13" customFormat="false" ht="15" hidden="false" customHeight="false" outlineLevel="0" collapsed="false">
      <c r="A13" s="3" t="s">
        <v>39</v>
      </c>
    </row>
    <row r="14" customFormat="false" ht="15" hidden="false" customHeight="false" outlineLevel="0" collapsed="false">
      <c r="A14" s="7" t="s">
        <v>3</v>
      </c>
      <c r="B14" s="7" t="s">
        <v>4</v>
      </c>
      <c r="C14" s="7" t="s">
        <v>5</v>
      </c>
      <c r="D14" s="7" t="s">
        <v>6</v>
      </c>
      <c r="E14" s="7" t="s">
        <v>7</v>
      </c>
      <c r="F14" s="7" t="s">
        <v>8</v>
      </c>
      <c r="G14" s="7" t="s">
        <v>9</v>
      </c>
      <c r="H14" s="7" t="s">
        <v>10</v>
      </c>
      <c r="I14" s="7" t="s">
        <v>11</v>
      </c>
      <c r="J14" s="7" t="s">
        <v>12</v>
      </c>
      <c r="K14" s="7" t="s">
        <v>13</v>
      </c>
      <c r="L14" s="7" t="s">
        <v>14</v>
      </c>
      <c r="M14" s="7" t="s">
        <v>15</v>
      </c>
      <c r="N14" s="7" t="s">
        <v>16</v>
      </c>
    </row>
    <row r="15" customFormat="false" ht="15" hidden="false" customHeight="false" outlineLevel="0" collapsed="false">
      <c r="A15" s="5" t="s">
        <v>40</v>
      </c>
      <c r="B15" s="6" t="n">
        <v>1</v>
      </c>
      <c r="C15" s="6" t="n">
        <v>2</v>
      </c>
      <c r="D15" s="6" t="n">
        <v>3</v>
      </c>
      <c r="E15" s="6" t="n">
        <v>4</v>
      </c>
      <c r="F15" s="6" t="n">
        <v>5</v>
      </c>
      <c r="G15" s="6" t="s">
        <v>18</v>
      </c>
      <c r="H15" s="6" t="s">
        <v>19</v>
      </c>
      <c r="I15" s="6" t="n">
        <v>1</v>
      </c>
      <c r="J15" s="6" t="n">
        <v>5</v>
      </c>
      <c r="K15" s="6" t="n">
        <v>1</v>
      </c>
      <c r="L15" s="6" t="n">
        <v>5</v>
      </c>
      <c r="M15" s="6" t="s">
        <v>41</v>
      </c>
      <c r="N15" s="6" t="s">
        <v>42</v>
      </c>
    </row>
    <row r="16" customFormat="false" ht="15" hidden="false" customHeight="false" outlineLevel="0" collapsed="false">
      <c r="A16" s="5" t="s">
        <v>43</v>
      </c>
      <c r="B16" s="6" t="n">
        <v>2</v>
      </c>
      <c r="C16" s="6" t="n">
        <v>1</v>
      </c>
      <c r="D16" s="6" t="n">
        <v>3</v>
      </c>
      <c r="E16" s="6" t="n">
        <v>4</v>
      </c>
      <c r="F16" s="6" t="n">
        <v>5</v>
      </c>
      <c r="G16" s="6" t="s">
        <v>44</v>
      </c>
      <c r="H16" s="6" t="s">
        <v>19</v>
      </c>
      <c r="I16" s="6" t="n">
        <v>2</v>
      </c>
      <c r="J16" s="6" t="n">
        <v>5</v>
      </c>
      <c r="K16" s="6" t="n">
        <v>2</v>
      </c>
      <c r="L16" s="6" t="n">
        <v>5</v>
      </c>
      <c r="M16" s="6" t="s">
        <v>45</v>
      </c>
      <c r="N16" s="6" t="s">
        <v>46</v>
      </c>
    </row>
    <row r="17" customFormat="false" ht="15" hidden="false" customHeight="false" outlineLevel="0" collapsed="false">
      <c r="A17" s="5" t="s">
        <v>47</v>
      </c>
      <c r="B17" s="6" t="n">
        <v>3</v>
      </c>
      <c r="C17" s="6" t="n">
        <v>2</v>
      </c>
      <c r="D17" s="6" t="n">
        <v>1</v>
      </c>
      <c r="E17" s="6" t="n">
        <v>4</v>
      </c>
      <c r="F17" s="6" t="n">
        <v>5</v>
      </c>
      <c r="G17" s="6" t="s">
        <v>32</v>
      </c>
      <c r="H17" s="6" t="s">
        <v>19</v>
      </c>
      <c r="I17" s="6" t="n">
        <v>3</v>
      </c>
      <c r="J17" s="6" t="n">
        <v>5</v>
      </c>
      <c r="K17" s="6" t="n">
        <v>3</v>
      </c>
      <c r="L17" s="6" t="n">
        <v>5</v>
      </c>
      <c r="M17" s="6" t="s">
        <v>48</v>
      </c>
      <c r="N17" s="6" t="s">
        <v>49</v>
      </c>
    </row>
    <row r="18" customFormat="false" ht="15" hidden="false" customHeight="false" outlineLevel="0" collapsed="false">
      <c r="A18" s="5" t="s">
        <v>50</v>
      </c>
      <c r="B18" s="6" t="n">
        <v>4</v>
      </c>
      <c r="C18" s="6" t="n">
        <v>3</v>
      </c>
      <c r="D18" s="6" t="n">
        <v>2</v>
      </c>
      <c r="E18" s="6" t="n">
        <v>1</v>
      </c>
      <c r="F18" s="6" t="n">
        <v>5</v>
      </c>
      <c r="G18" s="6" t="s">
        <v>51</v>
      </c>
      <c r="H18" s="6" t="s">
        <v>52</v>
      </c>
      <c r="I18" s="6" t="n">
        <v>4</v>
      </c>
      <c r="J18" s="6" t="n">
        <v>5</v>
      </c>
      <c r="K18" s="6" t="n">
        <v>4</v>
      </c>
      <c r="L18" s="6" t="n">
        <v>5</v>
      </c>
      <c r="M18" s="6" t="s">
        <v>53</v>
      </c>
      <c r="N18" s="6" t="s">
        <v>54</v>
      </c>
    </row>
    <row r="19" customFormat="false" ht="15" hidden="false" customHeight="false" outlineLevel="0" collapsed="false">
      <c r="A19" s="5" t="s">
        <v>55</v>
      </c>
      <c r="B19" s="8" t="n">
        <v>5</v>
      </c>
      <c r="C19" s="8" t="n">
        <v>4</v>
      </c>
      <c r="D19" s="8" t="n">
        <v>2</v>
      </c>
      <c r="E19" s="8" t="n">
        <v>3</v>
      </c>
      <c r="F19" s="8" t="n">
        <v>1</v>
      </c>
      <c r="G19" s="6" t="s">
        <v>19</v>
      </c>
      <c r="H19" s="6" t="s">
        <v>36</v>
      </c>
      <c r="I19" s="6" t="n">
        <v>5</v>
      </c>
      <c r="J19" s="6" t="n">
        <v>1</v>
      </c>
      <c r="K19" s="6" t="n">
        <v>5</v>
      </c>
      <c r="L19" s="6" t="n">
        <v>1</v>
      </c>
      <c r="M19" s="6" t="s">
        <v>56</v>
      </c>
      <c r="N19" s="6" t="s">
        <v>57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228" zoomScaleNormal="228" zoomScalePageLayoutView="100" workbookViewId="0">
      <selection pane="topLeft" activeCell="I8" activeCellId="0" sqref="I8"/>
    </sheetView>
  </sheetViews>
  <sheetFormatPr defaultColWidth="8.60546875" defaultRowHeight="15" customHeight="false" zeroHeight="false" outlineLevelRow="0" outlineLevelCol="0"/>
  <cols>
    <col collapsed="false" customWidth="true" hidden="false" outlineLevel="0" max="10" min="1" style="0" width="8"/>
  </cols>
  <sheetData>
    <row r="1" customFormat="false" ht="17.35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59</v>
      </c>
    </row>
    <row r="4" customFormat="false" ht="15" hidden="false" customHeight="false" outlineLevel="0" collapsed="false">
      <c r="A4" s="9" t="s">
        <v>60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66</v>
      </c>
      <c r="H4" s="4" t="s">
        <v>67</v>
      </c>
      <c r="I4" s="4" t="s">
        <v>68</v>
      </c>
      <c r="J4" s="4" t="s">
        <v>69</v>
      </c>
    </row>
    <row r="5" customFormat="false" ht="15" hidden="false" customHeight="false" outlineLevel="0" collapsed="false">
      <c r="A5" s="10" t="s">
        <v>70</v>
      </c>
      <c r="B5" s="11" t="s">
        <v>71</v>
      </c>
      <c r="C5" s="11" t="s">
        <v>72</v>
      </c>
      <c r="D5" s="11" t="s">
        <v>73</v>
      </c>
      <c r="E5" s="12" t="s">
        <v>74</v>
      </c>
      <c r="F5" s="12" t="s">
        <v>75</v>
      </c>
      <c r="G5" s="12" t="s">
        <v>76</v>
      </c>
      <c r="H5" s="13" t="s">
        <v>77</v>
      </c>
      <c r="I5" s="13" t="s">
        <v>78</v>
      </c>
      <c r="J5" s="13" t="s">
        <v>79</v>
      </c>
    </row>
    <row r="6" customFormat="false" ht="15" hidden="false" customHeight="false" outlineLevel="0" collapsed="false">
      <c r="A6" s="10" t="s">
        <v>80</v>
      </c>
      <c r="B6" s="11" t="s">
        <v>81</v>
      </c>
      <c r="C6" s="11" t="s">
        <v>82</v>
      </c>
      <c r="D6" s="12" t="s">
        <v>83</v>
      </c>
      <c r="E6" s="12" t="s">
        <v>84</v>
      </c>
      <c r="F6" s="12" t="s">
        <v>85</v>
      </c>
      <c r="G6" s="14" t="s">
        <v>86</v>
      </c>
      <c r="H6" s="15" t="s">
        <v>87</v>
      </c>
      <c r="I6" s="13" t="s">
        <v>88</v>
      </c>
      <c r="J6" s="13" t="s">
        <v>89</v>
      </c>
    </row>
    <row r="7" customFormat="false" ht="15" hidden="false" customHeight="false" outlineLevel="0" collapsed="false">
      <c r="A7" s="10" t="s">
        <v>90</v>
      </c>
      <c r="B7" s="11" t="s">
        <v>91</v>
      </c>
      <c r="C7" s="12" t="s">
        <v>92</v>
      </c>
      <c r="D7" s="12" t="s">
        <v>93</v>
      </c>
      <c r="E7" s="14" t="s">
        <v>94</v>
      </c>
      <c r="F7" s="14" t="s">
        <v>95</v>
      </c>
      <c r="G7" s="15" t="s">
        <v>96</v>
      </c>
      <c r="H7" s="15" t="s">
        <v>97</v>
      </c>
      <c r="I7" s="15" t="s">
        <v>98</v>
      </c>
      <c r="J7" s="13" t="s">
        <v>99</v>
      </c>
    </row>
    <row r="8" customFormat="false" ht="15" hidden="false" customHeight="false" outlineLevel="0" collapsed="false">
      <c r="A8" s="10" t="s">
        <v>100</v>
      </c>
      <c r="B8" s="12" t="s">
        <v>101</v>
      </c>
      <c r="C8" s="12" t="s">
        <v>102</v>
      </c>
      <c r="D8" s="14" t="s">
        <v>103</v>
      </c>
      <c r="E8" s="14" t="s">
        <v>104</v>
      </c>
      <c r="F8" s="15" t="s">
        <v>105</v>
      </c>
      <c r="G8" s="15" t="s">
        <v>106</v>
      </c>
      <c r="H8" s="15" t="s">
        <v>107</v>
      </c>
      <c r="I8" s="15" t="s">
        <v>108</v>
      </c>
      <c r="J8" s="16" t="s">
        <v>109</v>
      </c>
    </row>
    <row r="9" customFormat="false" ht="15" hidden="false" customHeight="false" outlineLevel="0" collapsed="false">
      <c r="A9" s="10" t="s">
        <v>110</v>
      </c>
      <c r="B9" s="12" t="s">
        <v>111</v>
      </c>
      <c r="C9" s="14" t="s">
        <v>112</v>
      </c>
      <c r="D9" s="14" t="s">
        <v>113</v>
      </c>
      <c r="E9" s="15" t="s">
        <v>114</v>
      </c>
      <c r="F9" s="17" t="s">
        <v>115</v>
      </c>
      <c r="G9" s="15" t="s">
        <v>116</v>
      </c>
      <c r="H9" s="15" t="s">
        <v>117</v>
      </c>
      <c r="I9" s="16" t="s">
        <v>118</v>
      </c>
      <c r="J9" s="16" t="s">
        <v>119</v>
      </c>
    </row>
    <row r="10" customFormat="false" ht="15" hidden="false" customHeight="false" outlineLevel="0" collapsed="false">
      <c r="A10" s="10" t="s">
        <v>120</v>
      </c>
      <c r="B10" s="14" t="s">
        <v>121</v>
      </c>
      <c r="C10" s="14" t="s">
        <v>122</v>
      </c>
      <c r="D10" s="15" t="s">
        <v>123</v>
      </c>
      <c r="E10" s="15" t="s">
        <v>124</v>
      </c>
      <c r="F10" s="15" t="s">
        <v>125</v>
      </c>
      <c r="G10" s="18" t="s">
        <v>126</v>
      </c>
      <c r="H10" s="16" t="s">
        <v>127</v>
      </c>
      <c r="I10" s="16" t="s">
        <v>128</v>
      </c>
      <c r="J10" s="16" t="s">
        <v>129</v>
      </c>
    </row>
    <row r="11" customFormat="false" ht="15" hidden="false" customHeight="false" outlineLevel="0" collapsed="false">
      <c r="A11" s="10" t="s">
        <v>130</v>
      </c>
      <c r="B11" s="13" t="s">
        <v>131</v>
      </c>
      <c r="C11" s="15" t="s">
        <v>132</v>
      </c>
      <c r="D11" s="15" t="s">
        <v>133</v>
      </c>
      <c r="E11" s="15" t="s">
        <v>134</v>
      </c>
      <c r="F11" s="18" t="s">
        <v>135</v>
      </c>
      <c r="G11" s="16" t="s">
        <v>136</v>
      </c>
      <c r="H11" s="16" t="s">
        <v>137</v>
      </c>
      <c r="I11" s="16" t="s">
        <v>138</v>
      </c>
      <c r="J11" s="19" t="s">
        <v>139</v>
      </c>
    </row>
    <row r="12" customFormat="false" ht="15" hidden="false" customHeight="false" outlineLevel="0" collapsed="false">
      <c r="A12" s="10" t="s">
        <v>140</v>
      </c>
      <c r="B12" s="13" t="s">
        <v>141</v>
      </c>
      <c r="C12" s="13" t="s">
        <v>142</v>
      </c>
      <c r="D12" s="15" t="s">
        <v>143</v>
      </c>
      <c r="E12" s="18" t="s">
        <v>144</v>
      </c>
      <c r="F12" s="16" t="s">
        <v>145</v>
      </c>
      <c r="G12" s="16" t="s">
        <v>146</v>
      </c>
      <c r="H12" s="16" t="s">
        <v>147</v>
      </c>
      <c r="I12" s="19" t="s">
        <v>148</v>
      </c>
      <c r="J12" s="19" t="s">
        <v>149</v>
      </c>
    </row>
    <row r="13" customFormat="false" ht="15" hidden="false" customHeight="false" outlineLevel="0" collapsed="false">
      <c r="A13" s="10" t="s">
        <v>150</v>
      </c>
      <c r="B13" s="13" t="s">
        <v>151</v>
      </c>
      <c r="C13" s="13" t="s">
        <v>152</v>
      </c>
      <c r="D13" s="20" t="s">
        <v>153</v>
      </c>
      <c r="E13" s="16" t="s">
        <v>154</v>
      </c>
      <c r="F13" s="16" t="s">
        <v>155</v>
      </c>
      <c r="G13" s="16" t="s">
        <v>156</v>
      </c>
      <c r="H13" s="19" t="s">
        <v>157</v>
      </c>
      <c r="I13" s="19" t="s">
        <v>158</v>
      </c>
      <c r="J13" s="19" t="s">
        <v>159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4" colorId="64" zoomScale="228" zoomScaleNormal="228" zoomScalePageLayoutView="100" workbookViewId="0">
      <selection pane="topLeft" activeCell="A1" activeCellId="0" sqref="A1"/>
    </sheetView>
  </sheetViews>
  <sheetFormatPr defaultColWidth="8.60546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14" min="2" style="0" width="10.71"/>
  </cols>
  <sheetData>
    <row r="1" customFormat="false" ht="17.35" hidden="false" customHeight="false" outlineLevel="0" collapsed="false">
      <c r="A1" s="1" t="s">
        <v>160</v>
      </c>
    </row>
    <row r="2" customFormat="false" ht="15" hidden="false" customHeight="false" outlineLevel="0" collapsed="false">
      <c r="A2" s="2" t="s">
        <v>161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162</v>
      </c>
      <c r="C5" s="4" t="s">
        <v>163</v>
      </c>
      <c r="D5" s="4" t="s">
        <v>164</v>
      </c>
      <c r="E5" s="4" t="s">
        <v>165</v>
      </c>
      <c r="F5" s="4" t="s">
        <v>166</v>
      </c>
      <c r="G5" s="4" t="s">
        <v>167</v>
      </c>
      <c r="H5" s="4" t="s">
        <v>168</v>
      </c>
      <c r="I5" s="4" t="s">
        <v>169</v>
      </c>
      <c r="J5" s="4" t="s">
        <v>170</v>
      </c>
      <c r="K5" s="4" t="s">
        <v>171</v>
      </c>
      <c r="L5" s="4" t="s">
        <v>172</v>
      </c>
      <c r="M5" s="4" t="s">
        <v>173</v>
      </c>
      <c r="N5" s="4" t="s">
        <v>174</v>
      </c>
    </row>
    <row r="6" customFormat="false" ht="15" hidden="false" customHeight="false" outlineLevel="0" collapsed="false">
      <c r="A6" s="21" t="s">
        <v>175</v>
      </c>
      <c r="B6" s="21" t="s">
        <v>176</v>
      </c>
      <c r="C6" s="21" t="s">
        <v>176</v>
      </c>
      <c r="D6" s="21" t="s">
        <v>176</v>
      </c>
      <c r="E6" s="21" t="s">
        <v>176</v>
      </c>
      <c r="F6" s="21" t="s">
        <v>177</v>
      </c>
      <c r="G6" s="21" t="s">
        <v>178</v>
      </c>
      <c r="H6" s="21" t="s">
        <v>177</v>
      </c>
      <c r="I6" s="21" t="s">
        <v>179</v>
      </c>
      <c r="J6" s="21" t="s">
        <v>177</v>
      </c>
      <c r="K6" s="21" t="s">
        <v>178</v>
      </c>
      <c r="L6" s="21" t="s">
        <v>177</v>
      </c>
      <c r="M6" s="21" t="s">
        <v>179</v>
      </c>
      <c r="N6" s="21" t="s">
        <v>178</v>
      </c>
    </row>
    <row r="7" customFormat="false" ht="15" hidden="false" customHeight="false" outlineLevel="0" collapsed="false">
      <c r="A7" s="5" t="s">
        <v>17</v>
      </c>
      <c r="B7" s="22" t="n">
        <v>-3.28</v>
      </c>
      <c r="C7" s="22" t="n">
        <v>-6.4</v>
      </c>
      <c r="D7" s="22" t="n">
        <v>-6.53</v>
      </c>
      <c r="E7" s="22" t="n">
        <v>-3.28</v>
      </c>
      <c r="F7" s="22" t="n">
        <v>-9.68</v>
      </c>
      <c r="G7" s="22" t="n">
        <v>-0.13</v>
      </c>
      <c r="H7" s="22" t="n">
        <v>-9.81</v>
      </c>
      <c r="I7" s="22" t="n">
        <v>-19.49</v>
      </c>
      <c r="J7" s="22" t="n">
        <v>12.86</v>
      </c>
      <c r="K7" s="22" t="n">
        <v>0.13</v>
      </c>
      <c r="L7" s="22" t="n">
        <v>12.99</v>
      </c>
      <c r="M7" s="22" t="n">
        <v>25.85</v>
      </c>
      <c r="N7" s="22" t="n">
        <v>45.34</v>
      </c>
    </row>
    <row r="8" customFormat="false" ht="15" hidden="false" customHeight="false" outlineLevel="0" collapsed="false">
      <c r="A8" s="5" t="s">
        <v>22</v>
      </c>
      <c r="B8" s="22" t="n">
        <v>5.38</v>
      </c>
      <c r="C8" s="22" t="n">
        <v>-2.19</v>
      </c>
      <c r="D8" s="22" t="n">
        <v>-2.16</v>
      </c>
      <c r="E8" s="22" t="n">
        <v>5.32</v>
      </c>
      <c r="F8" s="22" t="n">
        <v>3.19</v>
      </c>
      <c r="G8" s="22" t="n">
        <v>-0.02</v>
      </c>
      <c r="H8" s="22" t="n">
        <v>3.17</v>
      </c>
      <c r="I8" s="22" t="n">
        <v>6.36</v>
      </c>
      <c r="J8" s="22" t="n">
        <v>23.97</v>
      </c>
      <c r="K8" s="22" t="n">
        <v>0.03</v>
      </c>
      <c r="L8" s="22" t="n">
        <v>24</v>
      </c>
      <c r="M8" s="22" t="n">
        <v>47.97</v>
      </c>
      <c r="N8" s="22" t="n">
        <v>41.61</v>
      </c>
    </row>
    <row r="9" customFormat="false" ht="15" hidden="false" customHeight="false" outlineLevel="0" collapsed="false">
      <c r="A9" s="5" t="s">
        <v>27</v>
      </c>
      <c r="B9" s="22" t="n">
        <v>2.4</v>
      </c>
      <c r="C9" s="22" t="n">
        <v>-3.48</v>
      </c>
      <c r="D9" s="22" t="n">
        <v>-3.56</v>
      </c>
      <c r="E9" s="22" t="n">
        <v>2.39</v>
      </c>
      <c r="F9" s="22" t="n">
        <v>-1.08</v>
      </c>
      <c r="G9" s="22" t="n">
        <v>-0.09</v>
      </c>
      <c r="H9" s="22" t="n">
        <v>-1.17</v>
      </c>
      <c r="I9" s="22" t="n">
        <v>-2.25</v>
      </c>
      <c r="J9" s="22" t="n">
        <v>25.06</v>
      </c>
      <c r="K9" s="22" t="n">
        <v>0.09</v>
      </c>
      <c r="L9" s="22" t="n">
        <v>25.15</v>
      </c>
      <c r="M9" s="22" t="n">
        <v>50.21</v>
      </c>
      <c r="N9" s="22" t="n">
        <v>52.45</v>
      </c>
    </row>
    <row r="10" customFormat="false" ht="15" hidden="false" customHeight="false" outlineLevel="0" collapsed="false">
      <c r="A10" s="5" t="s">
        <v>31</v>
      </c>
      <c r="B10" s="22" t="n">
        <v>-6.65</v>
      </c>
      <c r="C10" s="22" t="n">
        <v>-10.21</v>
      </c>
      <c r="D10" s="22" t="n">
        <v>-10.28</v>
      </c>
      <c r="E10" s="22" t="n">
        <v>-6.72</v>
      </c>
      <c r="F10" s="22" t="n">
        <v>-16.86</v>
      </c>
      <c r="G10" s="22" t="n">
        <v>-0.14</v>
      </c>
      <c r="H10" s="22" t="n">
        <v>-17</v>
      </c>
      <c r="I10" s="22" t="n">
        <v>-33.86</v>
      </c>
      <c r="J10" s="22" t="n">
        <v>20.04</v>
      </c>
      <c r="K10" s="22" t="n">
        <v>0.14</v>
      </c>
      <c r="L10" s="22" t="n">
        <v>20.18</v>
      </c>
      <c r="M10" s="22" t="n">
        <v>40.22</v>
      </c>
      <c r="N10" s="22" t="n">
        <v>74.07</v>
      </c>
    </row>
    <row r="11" customFormat="false" ht="15" hidden="false" customHeight="false" outlineLevel="0" collapsed="false">
      <c r="A11" s="5" t="s">
        <v>35</v>
      </c>
      <c r="B11" s="22" t="n">
        <v>-4.87</v>
      </c>
      <c r="C11" s="22" t="n">
        <v>-9.82</v>
      </c>
      <c r="D11" s="22" t="n">
        <v>-9.93</v>
      </c>
      <c r="E11" s="22" t="n">
        <v>-4.87</v>
      </c>
      <c r="F11" s="22" t="n">
        <v>-14.69</v>
      </c>
      <c r="G11" s="22" t="n">
        <v>-0.11</v>
      </c>
      <c r="H11" s="22" t="n">
        <v>-14.8</v>
      </c>
      <c r="I11" s="22" t="n">
        <v>-29.49</v>
      </c>
      <c r="J11" s="22" t="n">
        <v>17.87</v>
      </c>
      <c r="K11" s="22" t="n">
        <v>0.11</v>
      </c>
      <c r="L11" s="22" t="n">
        <v>17.98</v>
      </c>
      <c r="M11" s="22" t="n">
        <v>35.85</v>
      </c>
      <c r="N11" s="22" t="n">
        <v>65.33</v>
      </c>
    </row>
    <row r="12" customFormat="false" ht="15" hidden="false" customHeight="false" outlineLevel="0" collapsed="false">
      <c r="A12" s="23" t="s">
        <v>180</v>
      </c>
      <c r="B12" s="23" t="n">
        <v>-1.4</v>
      </c>
      <c r="C12" s="23" t="n">
        <v>-6.42</v>
      </c>
      <c r="D12" s="23" t="n">
        <v>-6.49</v>
      </c>
      <c r="E12" s="23" t="n">
        <v>-1.43</v>
      </c>
      <c r="F12" s="23" t="n">
        <v>-7.82</v>
      </c>
      <c r="G12" s="23" t="n">
        <v>-0.1</v>
      </c>
      <c r="H12" s="23" t="n">
        <v>-7.92</v>
      </c>
      <c r="I12" s="23" t="n">
        <v>-15.74</v>
      </c>
      <c r="J12" s="23" t="n">
        <v>19.96</v>
      </c>
      <c r="K12" s="23" t="n">
        <v>0.1</v>
      </c>
      <c r="L12" s="23" t="n">
        <v>20.06</v>
      </c>
      <c r="M12" s="23" t="n">
        <v>40.02</v>
      </c>
      <c r="N12" s="23" t="n">
        <v>55.76</v>
      </c>
    </row>
    <row r="15" customFormat="false" ht="15" hidden="false" customHeight="false" outlineLevel="0" collapsed="false">
      <c r="A15" s="3" t="s">
        <v>39</v>
      </c>
    </row>
    <row r="16" customFormat="false" ht="15" hidden="false" customHeight="false" outlineLevel="0" collapsed="false">
      <c r="A16" s="7" t="s">
        <v>3</v>
      </c>
      <c r="B16" s="7" t="s">
        <v>162</v>
      </c>
      <c r="C16" s="7" t="s">
        <v>163</v>
      </c>
      <c r="D16" s="7" t="s">
        <v>164</v>
      </c>
      <c r="E16" s="7" t="s">
        <v>165</v>
      </c>
      <c r="F16" s="7" t="s">
        <v>166</v>
      </c>
      <c r="G16" s="7" t="s">
        <v>167</v>
      </c>
      <c r="H16" s="7" t="s">
        <v>168</v>
      </c>
      <c r="I16" s="7" t="s">
        <v>169</v>
      </c>
      <c r="J16" s="7" t="s">
        <v>170</v>
      </c>
      <c r="K16" s="7" t="s">
        <v>171</v>
      </c>
      <c r="L16" s="7" t="s">
        <v>172</v>
      </c>
      <c r="M16" s="7" t="s">
        <v>173</v>
      </c>
      <c r="N16" s="7" t="s">
        <v>174</v>
      </c>
    </row>
    <row r="17" customFormat="false" ht="15" hidden="false" customHeight="false" outlineLevel="0" collapsed="false">
      <c r="A17" s="21" t="s">
        <v>175</v>
      </c>
      <c r="B17" s="21" t="s">
        <v>176</v>
      </c>
      <c r="C17" s="21" t="s">
        <v>176</v>
      </c>
      <c r="D17" s="21" t="s">
        <v>176</v>
      </c>
      <c r="E17" s="21" t="s">
        <v>176</v>
      </c>
      <c r="F17" s="21" t="s">
        <v>177</v>
      </c>
      <c r="G17" s="21" t="s">
        <v>178</v>
      </c>
      <c r="H17" s="21" t="s">
        <v>177</v>
      </c>
      <c r="I17" s="21" t="s">
        <v>179</v>
      </c>
      <c r="J17" s="21" t="s">
        <v>177</v>
      </c>
      <c r="K17" s="21" t="s">
        <v>178</v>
      </c>
      <c r="L17" s="21" t="s">
        <v>177</v>
      </c>
      <c r="M17" s="21" t="s">
        <v>179</v>
      </c>
      <c r="N17" s="21" t="s">
        <v>178</v>
      </c>
    </row>
    <row r="18" customFormat="false" ht="15" hidden="false" customHeight="false" outlineLevel="0" collapsed="false">
      <c r="A18" s="5" t="s">
        <v>40</v>
      </c>
      <c r="B18" s="22" t="n">
        <v>-4.82</v>
      </c>
      <c r="C18" s="22" t="n">
        <v>-9.37</v>
      </c>
      <c r="D18" s="22" t="n">
        <v>-9.17</v>
      </c>
      <c r="E18" s="22" t="n">
        <v>-4.82</v>
      </c>
      <c r="F18" s="22" t="n">
        <v>-14.19</v>
      </c>
      <c r="G18" s="22" t="n">
        <v>0.21</v>
      </c>
      <c r="H18" s="22" t="n">
        <v>-13.99</v>
      </c>
      <c r="I18" s="22" t="n">
        <v>-28.18</v>
      </c>
      <c r="J18" s="22" t="n">
        <v>18.01</v>
      </c>
      <c r="K18" s="22" t="n">
        <v>-0.21</v>
      </c>
      <c r="L18" s="22" t="n">
        <v>17.81</v>
      </c>
      <c r="M18" s="22" t="n">
        <v>35.82</v>
      </c>
      <c r="N18" s="22" t="n">
        <v>63.99</v>
      </c>
    </row>
    <row r="19" customFormat="false" ht="15" hidden="false" customHeight="false" outlineLevel="0" collapsed="false">
      <c r="A19" s="5" t="s">
        <v>43</v>
      </c>
      <c r="B19" s="22" t="n">
        <v>-1.7</v>
      </c>
      <c r="C19" s="22" t="n">
        <v>-6.57</v>
      </c>
      <c r="D19" s="22" t="n">
        <v>-7.28</v>
      </c>
      <c r="E19" s="22" t="n">
        <v>-1.98</v>
      </c>
      <c r="F19" s="22" t="n">
        <v>-8.27</v>
      </c>
      <c r="G19" s="22" t="n">
        <v>-0.98</v>
      </c>
      <c r="H19" s="22" t="n">
        <v>-9.25</v>
      </c>
      <c r="I19" s="22" t="n">
        <v>-17.52</v>
      </c>
      <c r="J19" s="22" t="n">
        <v>15.08</v>
      </c>
      <c r="K19" s="22" t="n">
        <v>1.1</v>
      </c>
      <c r="L19" s="22" t="n">
        <v>16.17</v>
      </c>
      <c r="M19" s="22" t="n">
        <v>31.25</v>
      </c>
      <c r="N19" s="22" t="n">
        <v>48.76</v>
      </c>
    </row>
    <row r="20" customFormat="false" ht="15" hidden="false" customHeight="false" outlineLevel="0" collapsed="false">
      <c r="A20" s="5" t="s">
        <v>47</v>
      </c>
      <c r="B20" s="22" t="n">
        <v>-3.03</v>
      </c>
      <c r="C20" s="22" t="n">
        <v>-7.19</v>
      </c>
      <c r="D20" s="22" t="n">
        <v>-7.81</v>
      </c>
      <c r="E20" s="22" t="n">
        <v>-3.28</v>
      </c>
      <c r="F20" s="22" t="n">
        <v>-10.22</v>
      </c>
      <c r="G20" s="22" t="n">
        <v>-0.87</v>
      </c>
      <c r="H20" s="22" t="n">
        <v>-11.09</v>
      </c>
      <c r="I20" s="22" t="n">
        <v>-21.3</v>
      </c>
      <c r="J20" s="22" t="n">
        <v>13.33</v>
      </c>
      <c r="K20" s="22" t="n">
        <v>0.98</v>
      </c>
      <c r="L20" s="22" t="n">
        <v>14.31</v>
      </c>
      <c r="M20" s="22" t="n">
        <v>27.63</v>
      </c>
      <c r="N20" s="22" t="n">
        <v>48.93</v>
      </c>
    </row>
    <row r="21" customFormat="false" ht="15" hidden="false" customHeight="false" outlineLevel="0" collapsed="false">
      <c r="A21" s="5" t="s">
        <v>50</v>
      </c>
      <c r="B21" s="22" t="n">
        <v>-6</v>
      </c>
      <c r="C21" s="22" t="n">
        <v>-12.84</v>
      </c>
      <c r="D21" s="22" t="n">
        <v>-13.22</v>
      </c>
      <c r="E21" s="22" t="n">
        <v>-6.54</v>
      </c>
      <c r="F21" s="22" t="n">
        <v>-18.83</v>
      </c>
      <c r="G21" s="22" t="n">
        <v>-0.93</v>
      </c>
      <c r="H21" s="22" t="n">
        <v>-19.76</v>
      </c>
      <c r="I21" s="22" t="n">
        <v>-38.59</v>
      </c>
      <c r="J21" s="22" t="n">
        <v>18.95</v>
      </c>
      <c r="K21" s="22" t="n">
        <v>0.93</v>
      </c>
      <c r="L21" s="22" t="n">
        <v>19.88</v>
      </c>
      <c r="M21" s="22" t="n">
        <v>38.83</v>
      </c>
      <c r="N21" s="22" t="n">
        <v>77.42</v>
      </c>
    </row>
    <row r="22" customFormat="false" ht="15" hidden="false" customHeight="false" outlineLevel="0" collapsed="false">
      <c r="A22" s="5" t="s">
        <v>55</v>
      </c>
      <c r="B22" s="22" t="n">
        <v>-15.54</v>
      </c>
      <c r="C22" s="22" t="n">
        <v>-16.84</v>
      </c>
      <c r="D22" s="22" t="n">
        <v>-17.51</v>
      </c>
      <c r="E22" s="22" t="n">
        <v>-16.62</v>
      </c>
      <c r="F22" s="22" t="n">
        <v>-32.38</v>
      </c>
      <c r="G22" s="22" t="n">
        <v>-1.74</v>
      </c>
      <c r="H22" s="22" t="n">
        <v>-34.12</v>
      </c>
      <c r="I22" s="8" t="n">
        <v>-66.5</v>
      </c>
      <c r="J22" s="22" t="n">
        <v>32.38</v>
      </c>
      <c r="K22" s="22" t="n">
        <v>1.74</v>
      </c>
      <c r="L22" s="22" t="n">
        <v>34.12</v>
      </c>
      <c r="M22" s="8" t="n">
        <v>66.5</v>
      </c>
      <c r="N22" s="8" t="n">
        <v>133</v>
      </c>
    </row>
    <row r="23" customFormat="false" ht="15" hidden="false" customHeight="false" outlineLevel="0" collapsed="false">
      <c r="A23" s="23" t="s">
        <v>181</v>
      </c>
      <c r="B23" s="23" t="n">
        <v>-6.22</v>
      </c>
      <c r="C23" s="23" t="n">
        <v>-10.56</v>
      </c>
      <c r="D23" s="23" t="n">
        <v>-10.99</v>
      </c>
      <c r="E23" s="23" t="n">
        <v>-6.65</v>
      </c>
      <c r="F23" s="23" t="n">
        <v>-16.78</v>
      </c>
      <c r="G23" s="23" t="n">
        <v>-0.86</v>
      </c>
      <c r="H23" s="23" t="n">
        <v>-17.64</v>
      </c>
      <c r="I23" s="23" t="n">
        <v>-34.42</v>
      </c>
      <c r="J23" s="23" t="n">
        <v>19.55</v>
      </c>
      <c r="K23" s="23" t="n">
        <v>0.91</v>
      </c>
      <c r="L23" s="23" t="n">
        <v>20.46</v>
      </c>
      <c r="M23" s="23" t="n">
        <v>40</v>
      </c>
      <c r="N23" s="23" t="n">
        <v>74.42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228" zoomScaleNormal="228" zoomScalePageLayoutView="100" workbookViewId="0">
      <selection pane="topLeft" activeCell="P7" activeCellId="0" sqref="P7"/>
    </sheetView>
  </sheetViews>
  <sheetFormatPr defaultColWidth="8.60546875" defaultRowHeight="15" customHeight="false" zeroHeight="false" outlineLevelRow="0" outlineLevelCol="0"/>
  <cols>
    <col collapsed="false" customWidth="true" hidden="false" outlineLevel="0" max="1" min="1" style="24" width="7.57"/>
    <col collapsed="false" customWidth="true" hidden="false" outlineLevel="0" max="7" min="2" style="24" width="3.73"/>
    <col collapsed="false" customWidth="true" hidden="false" outlineLevel="0" max="8" min="8" style="24" width="2.82"/>
    <col collapsed="false" customWidth="true" hidden="false" outlineLevel="0" max="9" min="9" style="24" width="7.31"/>
    <col collapsed="false" customWidth="true" hidden="false" outlineLevel="0" max="13" min="10" style="24" width="3.73"/>
    <col collapsed="false" customWidth="true" hidden="false" outlineLevel="0" max="14" min="14" style="24" width="4.06"/>
    <col collapsed="false" customWidth="true" hidden="false" outlineLevel="0" max="15" min="15" style="24" width="4.32"/>
    <col collapsed="false" customWidth="false" hidden="false" outlineLevel="0" max="16384" min="16" style="24" width="8.61"/>
  </cols>
  <sheetData>
    <row r="1" customFormat="false" ht="15" hidden="false" customHeight="false" outlineLevel="0" collapsed="false">
      <c r="A1" s="25" t="s">
        <v>182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</row>
    <row r="2" customFormat="false" ht="15" hidden="false" customHeight="false" outlineLevel="0" collapsed="false">
      <c r="A2" s="26" t="s">
        <v>183</v>
      </c>
      <c r="B2" s="26" t="s">
        <v>17</v>
      </c>
      <c r="C2" s="26" t="s">
        <v>22</v>
      </c>
      <c r="D2" s="26" t="s">
        <v>27</v>
      </c>
      <c r="E2" s="26" t="s">
        <v>31</v>
      </c>
      <c r="F2" s="26" t="s">
        <v>35</v>
      </c>
      <c r="G2" s="27" t="s">
        <v>184</v>
      </c>
      <c r="I2" s="26" t="s">
        <v>185</v>
      </c>
      <c r="J2" s="26" t="s">
        <v>17</v>
      </c>
      <c r="K2" s="26" t="s">
        <v>22</v>
      </c>
      <c r="L2" s="26" t="s">
        <v>27</v>
      </c>
      <c r="M2" s="26" t="s">
        <v>31</v>
      </c>
      <c r="N2" s="26" t="s">
        <v>35</v>
      </c>
      <c r="O2" s="27" t="s">
        <v>184</v>
      </c>
    </row>
    <row r="3" customFormat="false" ht="15" hidden="false" customHeight="false" outlineLevel="0" collapsed="false">
      <c r="A3" s="28" t="s">
        <v>186</v>
      </c>
      <c r="B3" s="28" t="s">
        <v>176</v>
      </c>
      <c r="C3" s="28" t="s">
        <v>176</v>
      </c>
      <c r="D3" s="28" t="s">
        <v>176</v>
      </c>
      <c r="E3" s="28" t="s">
        <v>176</v>
      </c>
      <c r="F3" s="28" t="s">
        <v>176</v>
      </c>
      <c r="G3" s="28"/>
      <c r="I3" s="28" t="s">
        <v>186</v>
      </c>
      <c r="J3" s="28" t="s">
        <v>176</v>
      </c>
      <c r="K3" s="28" t="s">
        <v>176</v>
      </c>
      <c r="L3" s="28" t="s">
        <v>176</v>
      </c>
      <c r="M3" s="28" t="s">
        <v>176</v>
      </c>
      <c r="N3" s="28" t="s">
        <v>176</v>
      </c>
      <c r="O3" s="28"/>
    </row>
    <row r="4" customFormat="false" ht="15" hidden="false" customHeight="false" outlineLevel="0" collapsed="false">
      <c r="A4" s="29" t="s">
        <v>17</v>
      </c>
      <c r="B4" s="30" t="n">
        <v>4.69</v>
      </c>
      <c r="C4" s="31" t="n">
        <v>0.17</v>
      </c>
      <c r="D4" s="31" t="n">
        <v>0</v>
      </c>
      <c r="E4" s="31" t="n">
        <v>-1.5</v>
      </c>
      <c r="F4" s="31" t="n">
        <v>-3.96</v>
      </c>
      <c r="G4" s="32" t="n">
        <f aca="false">AVERAGE(B4:F4)</f>
        <v>-0.12</v>
      </c>
      <c r="I4" s="29" t="s">
        <v>17</v>
      </c>
      <c r="J4" s="33" t="n">
        <v>15.2</v>
      </c>
      <c r="K4" s="34" t="n">
        <v>3.06</v>
      </c>
      <c r="L4" s="34" t="n">
        <v>0</v>
      </c>
      <c r="M4" s="34" t="n">
        <v>4.7</v>
      </c>
      <c r="N4" s="34" t="n">
        <v>12.82</v>
      </c>
      <c r="O4" s="32" t="n">
        <f aca="false">AVERAGE(J4:N4)</f>
        <v>7.156</v>
      </c>
    </row>
    <row r="5" customFormat="false" ht="15" hidden="false" customHeight="false" outlineLevel="0" collapsed="false">
      <c r="A5" s="29" t="s">
        <v>22</v>
      </c>
      <c r="B5" s="31" t="n">
        <v>0.17</v>
      </c>
      <c r="C5" s="30" t="n">
        <v>0</v>
      </c>
      <c r="D5" s="31" t="n">
        <v>4.69</v>
      </c>
      <c r="E5" s="31" t="n">
        <v>-3.61</v>
      </c>
      <c r="F5" s="31" t="n">
        <v>-1.5</v>
      </c>
      <c r="G5" s="32" t="n">
        <f aca="false">AVERAGE(B5:F5)</f>
        <v>-0.0499999999999999</v>
      </c>
      <c r="I5" s="29" t="s">
        <v>22</v>
      </c>
      <c r="J5" s="34" t="n">
        <v>3.06</v>
      </c>
      <c r="K5" s="33" t="n">
        <v>0</v>
      </c>
      <c r="L5" s="34" t="n">
        <v>15.2</v>
      </c>
      <c r="M5" s="34" t="n">
        <v>11.7</v>
      </c>
      <c r="N5" s="34" t="n">
        <v>4.7</v>
      </c>
      <c r="O5" s="32" t="n">
        <f aca="false">AVERAGE(J5:N5)</f>
        <v>6.932</v>
      </c>
    </row>
    <row r="6" customFormat="false" ht="15" hidden="false" customHeight="false" outlineLevel="0" collapsed="false">
      <c r="A6" s="29" t="s">
        <v>27</v>
      </c>
      <c r="B6" s="31" t="n">
        <v>0</v>
      </c>
      <c r="C6" s="31" t="n">
        <v>4.69</v>
      </c>
      <c r="D6" s="30" t="n">
        <v>0.17</v>
      </c>
      <c r="E6" s="31" t="n">
        <v>-3.96</v>
      </c>
      <c r="F6" s="31" t="n">
        <v>-2.54</v>
      </c>
      <c r="G6" s="32" t="n">
        <f aca="false">AVERAGE(B6:F6)</f>
        <v>-0.328</v>
      </c>
      <c r="I6" s="29" t="s">
        <v>27</v>
      </c>
      <c r="J6" s="34" t="n">
        <v>0</v>
      </c>
      <c r="K6" s="34" t="n">
        <v>15.2</v>
      </c>
      <c r="L6" s="33" t="n">
        <v>3.06</v>
      </c>
      <c r="M6" s="34" t="n">
        <v>12.82</v>
      </c>
      <c r="N6" s="34" t="n">
        <v>7.96</v>
      </c>
      <c r="O6" s="32" t="n">
        <f aca="false">AVERAGE(J6:N6)</f>
        <v>7.808</v>
      </c>
    </row>
    <row r="7" customFormat="false" ht="15" hidden="false" customHeight="false" outlineLevel="0" collapsed="false">
      <c r="A7" s="29" t="s">
        <v>31</v>
      </c>
      <c r="B7" s="31" t="n">
        <v>-1.48</v>
      </c>
      <c r="C7" s="31" t="n">
        <v>-3.49</v>
      </c>
      <c r="D7" s="31" t="n">
        <v>-3.97</v>
      </c>
      <c r="E7" s="30" t="n">
        <v>4.69</v>
      </c>
      <c r="F7" s="31" t="n">
        <v>0.17</v>
      </c>
      <c r="G7" s="32" t="n">
        <f aca="false">AVERAGE(B7:F7)</f>
        <v>-0.816</v>
      </c>
      <c r="I7" s="29" t="s">
        <v>31</v>
      </c>
      <c r="J7" s="34" t="n">
        <v>4.59</v>
      </c>
      <c r="K7" s="34" t="n">
        <v>11.26</v>
      </c>
      <c r="L7" s="34" t="n">
        <v>12.84</v>
      </c>
      <c r="M7" s="33" t="n">
        <v>15.2</v>
      </c>
      <c r="N7" s="34" t="n">
        <v>3.06</v>
      </c>
      <c r="O7" s="32" t="n">
        <f aca="false">AVERAGE(J7:N7)</f>
        <v>9.39</v>
      </c>
    </row>
    <row r="8" customFormat="false" ht="15" hidden="false" customHeight="false" outlineLevel="0" collapsed="false">
      <c r="A8" s="29" t="s">
        <v>35</v>
      </c>
      <c r="B8" s="31" t="n">
        <v>-3.96</v>
      </c>
      <c r="C8" s="31" t="n">
        <v>-1.42</v>
      </c>
      <c r="D8" s="31" t="n">
        <v>-2.58</v>
      </c>
      <c r="E8" s="31" t="n">
        <v>0.17</v>
      </c>
      <c r="F8" s="30" t="n">
        <v>4.69</v>
      </c>
      <c r="G8" s="32" t="n">
        <f aca="false">AVERAGE(B8:F8)</f>
        <v>-0.62</v>
      </c>
      <c r="I8" s="29" t="s">
        <v>35</v>
      </c>
      <c r="J8" s="34" t="n">
        <v>12.82</v>
      </c>
      <c r="K8" s="34" t="n">
        <v>4.44</v>
      </c>
      <c r="L8" s="34" t="n">
        <v>8.07</v>
      </c>
      <c r="M8" s="34" t="n">
        <v>3.06</v>
      </c>
      <c r="N8" s="33" t="n">
        <v>15.2</v>
      </c>
      <c r="O8" s="32" t="n">
        <f aca="false">AVERAGE(J8:N8)</f>
        <v>8.718</v>
      </c>
    </row>
    <row r="9" customFormat="false" ht="15" hidden="false" customHeight="false" outlineLevel="0" collapsed="false">
      <c r="A9" s="35" t="s">
        <v>184</v>
      </c>
      <c r="B9" s="32" t="n">
        <f aca="false">AVERAGE(B4:B8)</f>
        <v>-0.116</v>
      </c>
      <c r="C9" s="32" t="n">
        <f aca="false">AVERAGE(C4:C8)</f>
        <v>-0.00999999999999995</v>
      </c>
      <c r="D9" s="32" t="n">
        <f aca="false">AVERAGE(D4:D8)</f>
        <v>-0.338</v>
      </c>
      <c r="E9" s="32" t="n">
        <f aca="false">AVERAGE(E4:E8)</f>
        <v>-0.842</v>
      </c>
      <c r="F9" s="32" t="n">
        <f aca="false">AVERAGE(F4:F8)</f>
        <v>-0.628</v>
      </c>
      <c r="G9" s="36" t="n">
        <f aca="false">AVERAGE(B4:F8)</f>
        <v>-0.3868</v>
      </c>
      <c r="I9" s="37" t="s">
        <v>184</v>
      </c>
      <c r="J9" s="32" t="n">
        <f aca="false">AVERAGE(J4:J8)</f>
        <v>7.134</v>
      </c>
      <c r="K9" s="32" t="n">
        <f aca="false">AVERAGE(K4:K8)</f>
        <v>6.792</v>
      </c>
      <c r="L9" s="32" t="n">
        <f aca="false">AVERAGE(L4:L8)</f>
        <v>7.834</v>
      </c>
      <c r="M9" s="32" t="n">
        <f aca="false">AVERAGE(M4:M8)</f>
        <v>9.496</v>
      </c>
      <c r="N9" s="32" t="n">
        <f aca="false">AVERAGE(N4:N8)</f>
        <v>8.748</v>
      </c>
      <c r="O9" s="36" t="n">
        <f aca="false">AVERAGE(J4:N8)</f>
        <v>8.0008</v>
      </c>
    </row>
    <row r="11" customFormat="false" ht="15" hidden="false" customHeight="false" outlineLevel="0" collapsed="false">
      <c r="A11" s="38" t="s">
        <v>187</v>
      </c>
      <c r="B11" s="38" t="s">
        <v>40</v>
      </c>
      <c r="C11" s="38" t="s">
        <v>43</v>
      </c>
      <c r="D11" s="38" t="s">
        <v>47</v>
      </c>
      <c r="E11" s="38" t="s">
        <v>50</v>
      </c>
      <c r="F11" s="38" t="s">
        <v>55</v>
      </c>
      <c r="G11" s="27" t="s">
        <v>184</v>
      </c>
      <c r="I11" s="38" t="s">
        <v>188</v>
      </c>
      <c r="J11" s="38" t="s">
        <v>40</v>
      </c>
      <c r="K11" s="38" t="s">
        <v>43</v>
      </c>
      <c r="L11" s="38" t="s">
        <v>47</v>
      </c>
      <c r="M11" s="38" t="s">
        <v>50</v>
      </c>
      <c r="N11" s="38" t="s">
        <v>55</v>
      </c>
      <c r="O11" s="39" t="s">
        <v>184</v>
      </c>
    </row>
    <row r="12" customFormat="false" ht="15" hidden="false" customHeight="false" outlineLevel="0" collapsed="false">
      <c r="A12" s="28" t="s">
        <v>186</v>
      </c>
      <c r="B12" s="28" t="s">
        <v>176</v>
      </c>
      <c r="C12" s="28" t="s">
        <v>176</v>
      </c>
      <c r="D12" s="28" t="s">
        <v>176</v>
      </c>
      <c r="E12" s="28" t="s">
        <v>176</v>
      </c>
      <c r="F12" s="28" t="s">
        <v>176</v>
      </c>
      <c r="G12" s="28"/>
      <c r="I12" s="28" t="s">
        <v>186</v>
      </c>
      <c r="J12" s="28" t="s">
        <v>176</v>
      </c>
      <c r="K12" s="28" t="s">
        <v>176</v>
      </c>
      <c r="L12" s="28" t="s">
        <v>176</v>
      </c>
      <c r="M12" s="28" t="s">
        <v>176</v>
      </c>
      <c r="N12" s="28" t="s">
        <v>176</v>
      </c>
      <c r="O12" s="28"/>
    </row>
    <row r="13" customFormat="false" ht="15" hidden="false" customHeight="false" outlineLevel="0" collapsed="false">
      <c r="A13" s="29" t="s">
        <v>40</v>
      </c>
      <c r="B13" s="30" t="n">
        <v>4.69</v>
      </c>
      <c r="C13" s="31" t="n">
        <v>0.17</v>
      </c>
      <c r="D13" s="31" t="n">
        <v>0</v>
      </c>
      <c r="E13" s="31" t="n">
        <v>-2.54</v>
      </c>
      <c r="F13" s="40" t="n">
        <v>-3.96</v>
      </c>
      <c r="G13" s="32" t="n">
        <f aca="false">AVERAGE(B13:F13)</f>
        <v>-0.328</v>
      </c>
      <c r="I13" s="29" t="s">
        <v>40</v>
      </c>
      <c r="J13" s="33" t="n">
        <v>14.56</v>
      </c>
      <c r="K13" s="34" t="n">
        <v>2.94</v>
      </c>
      <c r="L13" s="34" t="n">
        <v>0</v>
      </c>
      <c r="M13" s="34" t="n">
        <v>7.62</v>
      </c>
      <c r="N13" s="34" t="n">
        <v>12.26</v>
      </c>
      <c r="O13" s="32" t="n">
        <f aca="false">AVERAGE(J13:N13)</f>
        <v>7.476</v>
      </c>
    </row>
    <row r="14" customFormat="false" ht="15" hidden="false" customHeight="false" outlineLevel="0" collapsed="false">
      <c r="A14" s="29" t="s">
        <v>43</v>
      </c>
      <c r="B14" s="31" t="n">
        <v>0.17</v>
      </c>
      <c r="C14" s="30" t="n">
        <v>4.69</v>
      </c>
      <c r="D14" s="31" t="n">
        <v>-0.02</v>
      </c>
      <c r="E14" s="31" t="n">
        <v>-1.5</v>
      </c>
      <c r="F14" s="40" t="n">
        <v>-3.23</v>
      </c>
      <c r="G14" s="32" t="n">
        <f aca="false">AVERAGE(B14:F14)</f>
        <v>0.0220000000000001</v>
      </c>
      <c r="I14" s="29" t="s">
        <v>43</v>
      </c>
      <c r="J14" s="34" t="n">
        <v>2.94</v>
      </c>
      <c r="K14" s="33" t="n">
        <v>14.56</v>
      </c>
      <c r="L14" s="34" t="n">
        <v>3.01</v>
      </c>
      <c r="M14" s="34" t="n">
        <v>4.5</v>
      </c>
      <c r="N14" s="34" t="n">
        <v>10.01</v>
      </c>
      <c r="O14" s="32" t="n">
        <f aca="false">AVERAGE(J14:N14)</f>
        <v>7.004</v>
      </c>
    </row>
    <row r="15" customFormat="false" ht="15" hidden="false" customHeight="false" outlineLevel="0" collapsed="false">
      <c r="A15" s="29" t="s">
        <v>47</v>
      </c>
      <c r="B15" s="31" t="n">
        <v>0</v>
      </c>
      <c r="C15" s="31" t="n">
        <v>0.27</v>
      </c>
      <c r="D15" s="30" t="n">
        <v>4.69</v>
      </c>
      <c r="E15" s="31" t="n">
        <v>-1.23</v>
      </c>
      <c r="F15" s="40" t="n">
        <v>-3.61</v>
      </c>
      <c r="G15" s="32" t="n">
        <f aca="false">AVERAGE(B15:F15)</f>
        <v>0.0240000000000001</v>
      </c>
      <c r="I15" s="29" t="s">
        <v>47</v>
      </c>
      <c r="J15" s="34" t="n">
        <v>0</v>
      </c>
      <c r="K15" s="34" t="n">
        <v>2.65</v>
      </c>
      <c r="L15" s="33" t="n">
        <v>14.56</v>
      </c>
      <c r="M15" s="34" t="n">
        <v>3.56</v>
      </c>
      <c r="N15" s="34" t="n">
        <v>11.2</v>
      </c>
      <c r="O15" s="32" t="n">
        <f aca="false">AVERAGE(J15:N15)</f>
        <v>6.394</v>
      </c>
    </row>
    <row r="16" customFormat="false" ht="15" hidden="false" customHeight="false" outlineLevel="0" collapsed="false">
      <c r="A16" s="29" t="s">
        <v>50</v>
      </c>
      <c r="B16" s="31" t="n">
        <v>-2.41</v>
      </c>
      <c r="C16" s="31" t="n">
        <v>-1.42</v>
      </c>
      <c r="D16" s="31" t="n">
        <v>-0.06</v>
      </c>
      <c r="E16" s="30" t="n">
        <v>4.69</v>
      </c>
      <c r="F16" s="40" t="n">
        <v>-3.07</v>
      </c>
      <c r="G16" s="32" t="n">
        <f aca="false">AVERAGE(B16:F16)</f>
        <v>-0.454</v>
      </c>
      <c r="I16" s="29" t="s">
        <v>50</v>
      </c>
      <c r="J16" s="34" t="n">
        <v>7.36</v>
      </c>
      <c r="K16" s="34" t="n">
        <v>4.27</v>
      </c>
      <c r="L16" s="34" t="n">
        <v>3.61</v>
      </c>
      <c r="M16" s="33" t="n">
        <v>14.56</v>
      </c>
      <c r="N16" s="34" t="n">
        <v>9.33</v>
      </c>
      <c r="O16" s="32" t="n">
        <f aca="false">AVERAGE(J16:N16)</f>
        <v>7.826</v>
      </c>
    </row>
    <row r="17" customFormat="false" ht="15" hidden="false" customHeight="false" outlineLevel="0" collapsed="false">
      <c r="A17" s="29" t="s">
        <v>55</v>
      </c>
      <c r="B17" s="31" t="n">
        <v>-3.96</v>
      </c>
      <c r="C17" s="31" t="n">
        <v>-3.11</v>
      </c>
      <c r="D17" s="31" t="n">
        <v>-3.64</v>
      </c>
      <c r="E17" s="31" t="n">
        <v>-3.12</v>
      </c>
      <c r="F17" s="30" t="n">
        <v>4.69</v>
      </c>
      <c r="G17" s="32" t="n">
        <f aca="false">AVERAGE(B17:F17)</f>
        <v>-1.828</v>
      </c>
      <c r="I17" s="29" t="s">
        <v>55</v>
      </c>
      <c r="J17" s="34" t="n">
        <v>12.26</v>
      </c>
      <c r="K17" s="34" t="n">
        <v>9.48</v>
      </c>
      <c r="L17" s="34" t="n">
        <v>11.09</v>
      </c>
      <c r="M17" s="34" t="n">
        <v>9.15</v>
      </c>
      <c r="N17" s="33" t="n">
        <v>14.56</v>
      </c>
      <c r="O17" s="32" t="n">
        <f aca="false">AVERAGE(J17:N17)</f>
        <v>11.308</v>
      </c>
    </row>
    <row r="18" customFormat="false" ht="15" hidden="false" customHeight="false" outlineLevel="0" collapsed="false">
      <c r="A18" s="35" t="s">
        <v>184</v>
      </c>
      <c r="B18" s="32" t="n">
        <f aca="false">AVERAGE(B13:B17)</f>
        <v>-0.302</v>
      </c>
      <c r="C18" s="32" t="n">
        <f aca="false">AVERAGE(C13:C17)</f>
        <v>0.12</v>
      </c>
      <c r="D18" s="32" t="n">
        <f aca="false">AVERAGE(D13:D17)</f>
        <v>0.194</v>
      </c>
      <c r="E18" s="32" t="n">
        <f aca="false">AVERAGE(E13:E17)</f>
        <v>-0.74</v>
      </c>
      <c r="F18" s="32" t="n">
        <f aca="false">AVERAGE(F13:F17)</f>
        <v>-1.836</v>
      </c>
      <c r="G18" s="36" t="n">
        <f aca="false">AVERAGE(B13:F17)</f>
        <v>-0.5128</v>
      </c>
      <c r="I18" s="35" t="s">
        <v>184</v>
      </c>
      <c r="J18" s="32" t="n">
        <f aca="false">AVERAGE(J13:J17)</f>
        <v>7.424</v>
      </c>
      <c r="K18" s="32" t="n">
        <f aca="false">AVERAGE(K13:K17)</f>
        <v>6.78</v>
      </c>
      <c r="L18" s="32" t="n">
        <f aca="false">AVERAGE(L13:L17)</f>
        <v>6.454</v>
      </c>
      <c r="M18" s="32" t="n">
        <f aca="false">AVERAGE(M13:M17)</f>
        <v>7.878</v>
      </c>
      <c r="N18" s="32" t="n">
        <f aca="false">AVERAGE(N13:N17)</f>
        <v>11.472</v>
      </c>
      <c r="O18" s="36" t="n">
        <f aca="false">AVERAGE(J13:N17)</f>
        <v>8.0016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228" zoomScaleNormal="228" zoomScalePageLayoutView="100" workbookViewId="0">
      <selection pane="topLeft" activeCell="A1" activeCellId="0" sqref="A1"/>
    </sheetView>
  </sheetViews>
  <sheetFormatPr defaultColWidth="8.60546875" defaultRowHeight="1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8.71"/>
    <col collapsed="false" customWidth="true" hidden="false" outlineLevel="0" max="7" min="3" style="0" width="14.71"/>
    <col collapsed="false" customWidth="true" hidden="false" outlineLevel="0" max="8" min="8" style="0" width="38.71"/>
  </cols>
  <sheetData>
    <row r="1" customFormat="false" ht="17.35" hidden="false" customHeight="false" outlineLevel="0" collapsed="false">
      <c r="A1" s="1" t="s">
        <v>189</v>
      </c>
    </row>
    <row r="2" customFormat="false" ht="15" hidden="false" customHeight="false" outlineLevel="0" collapsed="false">
      <c r="A2" s="2" t="s">
        <v>190</v>
      </c>
    </row>
    <row r="4" customFormat="false" ht="15" hidden="false" customHeight="false" outlineLevel="0" collapsed="false">
      <c r="A4" s="4" t="s">
        <v>191</v>
      </c>
      <c r="B4" s="4" t="s">
        <v>192</v>
      </c>
      <c r="C4" s="4" t="s">
        <v>193</v>
      </c>
      <c r="D4" s="4" t="s">
        <v>194</v>
      </c>
      <c r="E4" s="4" t="s">
        <v>195</v>
      </c>
      <c r="F4" s="4" t="s">
        <v>196</v>
      </c>
      <c r="G4" s="4" t="s">
        <v>197</v>
      </c>
      <c r="H4" s="4" t="s">
        <v>198</v>
      </c>
    </row>
    <row r="5" customFormat="false" ht="15" hidden="false" customHeight="false" outlineLevel="0" collapsed="false">
      <c r="A5" s="21" t="s">
        <v>175</v>
      </c>
      <c r="B5" s="21" t="s">
        <v>177</v>
      </c>
      <c r="C5" s="21" t="s">
        <v>177</v>
      </c>
      <c r="D5" s="21" t="s">
        <v>177</v>
      </c>
      <c r="E5" s="21" t="s">
        <v>177</v>
      </c>
      <c r="F5" s="21" t="s">
        <v>177</v>
      </c>
      <c r="G5" s="21" t="s">
        <v>177</v>
      </c>
      <c r="H5" s="21" t="s">
        <v>178</v>
      </c>
    </row>
    <row r="6" customFormat="false" ht="15" hidden="false" customHeight="false" outlineLevel="0" collapsed="false">
      <c r="A6" s="5" t="s">
        <v>17</v>
      </c>
      <c r="B6" s="6" t="s">
        <v>199</v>
      </c>
      <c r="C6" s="22" t="n">
        <v>-9.68</v>
      </c>
      <c r="D6" s="22" t="n">
        <v>-9.81</v>
      </c>
      <c r="E6" s="22" t="n">
        <v>-19.49</v>
      </c>
      <c r="F6" s="22" t="n">
        <v>25.85</v>
      </c>
      <c r="G6" s="22" t="n">
        <v>45.34</v>
      </c>
      <c r="H6" s="6" t="s">
        <v>200</v>
      </c>
    </row>
    <row r="7" customFormat="false" ht="15" hidden="false" customHeight="false" outlineLevel="0" collapsed="false">
      <c r="A7" s="5" t="s">
        <v>22</v>
      </c>
      <c r="B7" s="6" t="s">
        <v>199</v>
      </c>
      <c r="C7" s="22" t="n">
        <v>3.19</v>
      </c>
      <c r="D7" s="22" t="n">
        <v>3.17</v>
      </c>
      <c r="E7" s="22" t="n">
        <v>6.36</v>
      </c>
      <c r="F7" s="22" t="n">
        <v>47.97</v>
      </c>
      <c r="G7" s="22" t="n">
        <v>41.61</v>
      </c>
      <c r="H7" s="6" t="s">
        <v>201</v>
      </c>
    </row>
    <row r="8" customFormat="false" ht="15" hidden="false" customHeight="false" outlineLevel="0" collapsed="false">
      <c r="A8" s="5" t="s">
        <v>27</v>
      </c>
      <c r="B8" s="6" t="s">
        <v>199</v>
      </c>
      <c r="C8" s="22" t="n">
        <v>-1.08</v>
      </c>
      <c r="D8" s="22" t="n">
        <v>-1.17</v>
      </c>
      <c r="E8" s="22" t="n">
        <v>-2.25</v>
      </c>
      <c r="F8" s="22" t="n">
        <v>50.21</v>
      </c>
      <c r="G8" s="22" t="n">
        <v>52.45</v>
      </c>
      <c r="H8" s="6" t="s">
        <v>202</v>
      </c>
    </row>
    <row r="9" customFormat="false" ht="15" hidden="false" customHeight="false" outlineLevel="0" collapsed="false">
      <c r="A9" s="5" t="s">
        <v>31</v>
      </c>
      <c r="B9" s="6" t="s">
        <v>199</v>
      </c>
      <c r="C9" s="22" t="n">
        <v>-16.86</v>
      </c>
      <c r="D9" s="22" t="n">
        <v>-17</v>
      </c>
      <c r="E9" s="22" t="n">
        <v>-33.86</v>
      </c>
      <c r="F9" s="22" t="n">
        <v>40.22</v>
      </c>
      <c r="G9" s="22" t="n">
        <v>74.07</v>
      </c>
      <c r="H9" s="6" t="s">
        <v>203</v>
      </c>
    </row>
    <row r="10" customFormat="false" ht="15" hidden="false" customHeight="false" outlineLevel="0" collapsed="false">
      <c r="A10" s="5" t="s">
        <v>35</v>
      </c>
      <c r="B10" s="6" t="s">
        <v>199</v>
      </c>
      <c r="C10" s="22" t="n">
        <v>-14.69</v>
      </c>
      <c r="D10" s="22" t="n">
        <v>-14.8</v>
      </c>
      <c r="E10" s="22" t="n">
        <v>-29.49</v>
      </c>
      <c r="F10" s="22" t="n">
        <v>35.85</v>
      </c>
      <c r="G10" s="22" t="n">
        <v>65.33</v>
      </c>
      <c r="H10" s="6" t="s">
        <v>203</v>
      </c>
    </row>
    <row r="11" customFormat="false" ht="15" hidden="false" customHeight="false" outlineLevel="0" collapsed="false">
      <c r="A11" s="5" t="s">
        <v>40</v>
      </c>
      <c r="B11" s="6" t="s">
        <v>204</v>
      </c>
      <c r="C11" s="22" t="n">
        <v>-14.19</v>
      </c>
      <c r="D11" s="22" t="n">
        <v>-13.99</v>
      </c>
      <c r="E11" s="22" t="n">
        <v>-28.18</v>
      </c>
      <c r="F11" s="22" t="n">
        <v>35.82</v>
      </c>
      <c r="G11" s="22" t="n">
        <v>63.99</v>
      </c>
      <c r="H11" s="6" t="s">
        <v>205</v>
      </c>
    </row>
    <row r="12" customFormat="false" ht="15" hidden="false" customHeight="false" outlineLevel="0" collapsed="false">
      <c r="A12" s="5" t="s">
        <v>43</v>
      </c>
      <c r="B12" s="6" t="s">
        <v>204</v>
      </c>
      <c r="C12" s="22" t="n">
        <v>-8.27</v>
      </c>
      <c r="D12" s="22" t="n">
        <v>-9.25</v>
      </c>
      <c r="E12" s="22" t="n">
        <v>-17.52</v>
      </c>
      <c r="F12" s="22" t="n">
        <v>31.25</v>
      </c>
      <c r="G12" s="22" t="n">
        <v>48.76</v>
      </c>
      <c r="H12" s="6" t="s">
        <v>206</v>
      </c>
    </row>
    <row r="13" customFormat="false" ht="15" hidden="false" customHeight="false" outlineLevel="0" collapsed="false">
      <c r="A13" s="5" t="s">
        <v>47</v>
      </c>
      <c r="B13" s="6" t="s">
        <v>204</v>
      </c>
      <c r="C13" s="22" t="n">
        <v>-10.22</v>
      </c>
      <c r="D13" s="22" t="n">
        <v>-11.09</v>
      </c>
      <c r="E13" s="22" t="n">
        <v>-21.3</v>
      </c>
      <c r="F13" s="22" t="n">
        <v>27.63</v>
      </c>
      <c r="G13" s="22" t="n">
        <v>48.93</v>
      </c>
      <c r="H13" s="6" t="s">
        <v>207</v>
      </c>
    </row>
    <row r="14" customFormat="false" ht="15" hidden="false" customHeight="false" outlineLevel="0" collapsed="false">
      <c r="A14" s="5" t="s">
        <v>50</v>
      </c>
      <c r="B14" s="6" t="s">
        <v>204</v>
      </c>
      <c r="C14" s="22" t="n">
        <v>-18.83</v>
      </c>
      <c r="D14" s="22" t="n">
        <v>-19.76</v>
      </c>
      <c r="E14" s="22" t="n">
        <v>-38.59</v>
      </c>
      <c r="F14" s="22" t="n">
        <v>38.83</v>
      </c>
      <c r="G14" s="22" t="n">
        <v>77.42</v>
      </c>
      <c r="H14" s="6" t="s">
        <v>208</v>
      </c>
    </row>
    <row r="15" customFormat="false" ht="15" hidden="false" customHeight="false" outlineLevel="0" collapsed="false">
      <c r="A15" s="5" t="s">
        <v>55</v>
      </c>
      <c r="B15" s="6" t="s">
        <v>204</v>
      </c>
      <c r="C15" s="22" t="n">
        <v>-32.38</v>
      </c>
      <c r="D15" s="22" t="n">
        <v>-34.12</v>
      </c>
      <c r="E15" s="8" t="n">
        <v>-66.5</v>
      </c>
      <c r="F15" s="8" t="n">
        <v>66.5</v>
      </c>
      <c r="G15" s="8" t="n">
        <v>133</v>
      </c>
      <c r="H15" s="8" t="s">
        <v>209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228" zoomScaleNormal="228" zoomScalePageLayoutView="100" workbookViewId="0">
      <selection pane="topLeft" activeCell="A1" activeCellId="0" sqref="A1"/>
    </sheetView>
  </sheetViews>
  <sheetFormatPr defaultColWidth="8.60546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10.71"/>
    <col collapsed="false" customWidth="true" hidden="false" outlineLevel="0" max="4" min="3" style="0" width="12.71"/>
    <col collapsed="false" customWidth="true" hidden="false" outlineLevel="0" max="8" min="5" style="0" width="14.71"/>
  </cols>
  <sheetData>
    <row r="1" customFormat="false" ht="17.35" hidden="false" customHeight="false" outlineLevel="0" collapsed="false">
      <c r="A1" s="1" t="s">
        <v>210</v>
      </c>
    </row>
    <row r="2" customFormat="false" ht="15" hidden="false" customHeight="false" outlineLevel="0" collapsed="false">
      <c r="A2" s="2" t="s">
        <v>211</v>
      </c>
    </row>
    <row r="4" customFormat="false" ht="15" hidden="false" customHeight="false" outlineLevel="0" collapsed="false">
      <c r="A4" s="4" t="s">
        <v>192</v>
      </c>
      <c r="B4" s="4" t="s">
        <v>212</v>
      </c>
      <c r="C4" s="4" t="s">
        <v>213</v>
      </c>
      <c r="D4" s="4" t="s">
        <v>214</v>
      </c>
      <c r="E4" s="4" t="s">
        <v>215</v>
      </c>
      <c r="F4" s="4" t="s">
        <v>216</v>
      </c>
      <c r="G4" s="4" t="s">
        <v>217</v>
      </c>
      <c r="H4" s="4" t="s">
        <v>218</v>
      </c>
    </row>
    <row r="5" customFormat="false" ht="15" hidden="false" customHeight="false" outlineLevel="0" collapsed="false">
      <c r="A5" s="21" t="s">
        <v>175</v>
      </c>
      <c r="B5" s="21" t="s">
        <v>177</v>
      </c>
      <c r="C5" s="21" t="s">
        <v>177</v>
      </c>
      <c r="D5" s="21" t="s">
        <v>177</v>
      </c>
      <c r="E5" s="21" t="s">
        <v>177</v>
      </c>
      <c r="F5" s="21" t="s">
        <v>177</v>
      </c>
      <c r="G5" s="21" t="s">
        <v>177</v>
      </c>
      <c r="H5" s="21" t="s">
        <v>177</v>
      </c>
    </row>
    <row r="6" customFormat="false" ht="15" hidden="false" customHeight="false" outlineLevel="0" collapsed="false">
      <c r="A6" s="6" t="s">
        <v>199</v>
      </c>
      <c r="B6" s="5" t="s">
        <v>219</v>
      </c>
      <c r="C6" s="22" t="n">
        <v>-0.407</v>
      </c>
      <c r="D6" s="22" t="n">
        <v>-0.297</v>
      </c>
      <c r="E6" s="22" t="n">
        <v>0.653</v>
      </c>
      <c r="F6" s="22" t="n">
        <v>0.347</v>
      </c>
      <c r="G6" s="41" t="n">
        <v>15.3</v>
      </c>
      <c r="H6" s="41" t="n">
        <v>32.3</v>
      </c>
    </row>
    <row r="7" customFormat="false" ht="15" hidden="false" customHeight="false" outlineLevel="0" collapsed="false">
      <c r="A7" s="6" t="s">
        <v>199</v>
      </c>
      <c r="B7" s="5" t="s">
        <v>220</v>
      </c>
      <c r="C7" s="22" t="n">
        <v>-0.407</v>
      </c>
      <c r="D7" s="22" t="n">
        <v>-0.297</v>
      </c>
      <c r="E7" s="22" t="n">
        <v>0.653</v>
      </c>
      <c r="F7" s="22" t="n">
        <v>0.347</v>
      </c>
      <c r="G7" s="41" t="n">
        <v>15.3</v>
      </c>
      <c r="H7" s="41" t="n">
        <v>32.3</v>
      </c>
    </row>
    <row r="8" customFormat="false" ht="15" hidden="false" customHeight="false" outlineLevel="0" collapsed="false">
      <c r="A8" s="6" t="s">
        <v>199</v>
      </c>
      <c r="B8" s="5" t="s">
        <v>221</v>
      </c>
      <c r="C8" s="22" t="n">
        <v>-0.449</v>
      </c>
      <c r="D8" s="22" t="n">
        <v>0.088</v>
      </c>
      <c r="E8" s="22" t="n">
        <v>0.963</v>
      </c>
      <c r="F8" s="22" t="n">
        <v>0.037</v>
      </c>
      <c r="G8" s="41" t="n">
        <v>18.6</v>
      </c>
      <c r="H8" s="41" t="n">
        <v>2.8</v>
      </c>
    </row>
    <row r="9" customFormat="false" ht="15" hidden="false" customHeight="false" outlineLevel="0" collapsed="false">
      <c r="A9" s="6" t="s">
        <v>199</v>
      </c>
      <c r="B9" s="5" t="s">
        <v>222</v>
      </c>
      <c r="C9" s="22" t="n">
        <v>0.632</v>
      </c>
      <c r="D9" s="22" t="n">
        <v>0.253</v>
      </c>
      <c r="E9" s="22" t="n">
        <v>0.862</v>
      </c>
      <c r="F9" s="22" t="n">
        <v>0.138</v>
      </c>
      <c r="G9" s="41" t="n">
        <v>36.8</v>
      </c>
      <c r="H9" s="41" t="n">
        <v>23.3</v>
      </c>
    </row>
    <row r="10" customFormat="false" ht="15" hidden="false" customHeight="false" outlineLevel="0" collapsed="false">
      <c r="A10" s="6" t="s">
        <v>199</v>
      </c>
      <c r="B10" s="5" t="s">
        <v>223</v>
      </c>
      <c r="C10" s="22" t="n">
        <v>0.632</v>
      </c>
      <c r="D10" s="22" t="n">
        <v>0.253</v>
      </c>
      <c r="E10" s="22" t="n">
        <v>0.862</v>
      </c>
      <c r="F10" s="22" t="n">
        <v>0.138</v>
      </c>
      <c r="G10" s="41" t="n">
        <v>36.8</v>
      </c>
      <c r="H10" s="41" t="n">
        <v>23.3</v>
      </c>
    </row>
    <row r="11" customFormat="false" ht="15" hidden="false" customHeight="false" outlineLevel="0" collapsed="false">
      <c r="A11" s="6" t="s">
        <v>204</v>
      </c>
      <c r="B11" s="5" t="s">
        <v>224</v>
      </c>
      <c r="C11" s="22" t="n">
        <v>-0.384</v>
      </c>
      <c r="D11" s="22" t="n">
        <v>-0.404</v>
      </c>
      <c r="E11" s="22" t="n">
        <v>0.474</v>
      </c>
      <c r="F11" s="22" t="n">
        <v>0.526</v>
      </c>
      <c r="G11" s="41" t="n">
        <v>17.5</v>
      </c>
      <c r="H11" s="41" t="n">
        <v>24.3</v>
      </c>
    </row>
    <row r="12" customFormat="false" ht="15" hidden="false" customHeight="false" outlineLevel="0" collapsed="false">
      <c r="A12" s="6" t="s">
        <v>204</v>
      </c>
      <c r="B12" s="5" t="s">
        <v>225</v>
      </c>
      <c r="C12" s="22" t="n">
        <v>-0.428</v>
      </c>
      <c r="D12" s="22" t="n">
        <v>0.106</v>
      </c>
      <c r="E12" s="22" t="n">
        <v>0.943</v>
      </c>
      <c r="F12" s="22" t="n">
        <v>0.057</v>
      </c>
      <c r="G12" s="41" t="n">
        <v>21.6</v>
      </c>
      <c r="H12" s="41" t="n">
        <v>1.7</v>
      </c>
    </row>
    <row r="13" customFormat="false" ht="15" hidden="false" customHeight="false" outlineLevel="0" collapsed="false">
      <c r="A13" s="6" t="s">
        <v>204</v>
      </c>
      <c r="B13" s="5" t="s">
        <v>226</v>
      </c>
      <c r="C13" s="22" t="n">
        <v>0.634</v>
      </c>
      <c r="D13" s="22" t="n">
        <v>-0.334</v>
      </c>
      <c r="E13" s="22" t="n">
        <v>0.783</v>
      </c>
      <c r="F13" s="22" t="n">
        <v>0.217</v>
      </c>
      <c r="G13" s="41" t="n">
        <v>47.4</v>
      </c>
      <c r="H13" s="41" t="n">
        <v>16.6</v>
      </c>
    </row>
    <row r="14" customFormat="false" ht="15" hidden="false" customHeight="false" outlineLevel="0" collapsed="false">
      <c r="A14" s="6" t="s">
        <v>204</v>
      </c>
      <c r="B14" s="5" t="s">
        <v>227</v>
      </c>
      <c r="C14" s="22" t="n">
        <v>-0.428</v>
      </c>
      <c r="D14" s="22" t="n">
        <v>0.106</v>
      </c>
      <c r="E14" s="22" t="n">
        <v>0.943</v>
      </c>
      <c r="F14" s="22" t="n">
        <v>0.057</v>
      </c>
      <c r="G14" s="41" t="n">
        <v>21.6</v>
      </c>
      <c r="H14" s="41" t="n">
        <v>1.7</v>
      </c>
    </row>
    <row r="15" customFormat="false" ht="15" hidden="false" customHeight="false" outlineLevel="0" collapsed="false">
      <c r="A15" s="6" t="s">
        <v>204</v>
      </c>
      <c r="B15" s="5" t="s">
        <v>228</v>
      </c>
      <c r="C15" s="22" t="n">
        <v>0.606</v>
      </c>
      <c r="D15" s="22" t="n">
        <v>0.526</v>
      </c>
      <c r="E15" s="22" t="n">
        <v>0.57</v>
      </c>
      <c r="F15" s="22" t="n">
        <v>0.43</v>
      </c>
      <c r="G15" s="41" t="n">
        <v>43.4</v>
      </c>
      <c r="H15" s="41" t="n">
        <v>41.2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228" zoomScaleNormal="228" zoomScalePageLayoutView="100" workbookViewId="0">
      <selection pane="topLeft" activeCell="C23" activeCellId="0" sqref="C23"/>
    </sheetView>
  </sheetViews>
  <sheetFormatPr defaultColWidth="8.60546875" defaultRowHeight="15" customHeight="false" zeroHeight="false" outlineLevelRow="0" outlineLevelCol="0"/>
  <cols>
    <col collapsed="false" customWidth="true" hidden="false" outlineLevel="0" max="1" min="1" style="0" width="28.71"/>
    <col collapsed="false" customWidth="true" hidden="false" outlineLevel="0" max="3" min="2" style="0" width="18.71"/>
    <col collapsed="false" customWidth="true" hidden="false" outlineLevel="0" max="4" min="4" style="0" width="45.71"/>
  </cols>
  <sheetData>
    <row r="1" customFormat="false" ht="17.35" hidden="false" customHeight="false" outlineLevel="0" collapsed="false">
      <c r="A1" s="1" t="s">
        <v>229</v>
      </c>
    </row>
    <row r="2" customFormat="false" ht="15" hidden="false" customHeight="false" outlineLevel="0" collapsed="false">
      <c r="A2" s="2" t="s">
        <v>230</v>
      </c>
    </row>
    <row r="3" customFormat="false" ht="15" hidden="false" customHeight="false" outlineLevel="0" collapsed="false">
      <c r="A3" s="9" t="s">
        <v>231</v>
      </c>
      <c r="B3" s="4" t="s">
        <v>232</v>
      </c>
      <c r="C3" s="4" t="s">
        <v>233</v>
      </c>
      <c r="D3" s="4" t="s">
        <v>234</v>
      </c>
    </row>
    <row r="4" customFormat="false" ht="15" hidden="false" customHeight="false" outlineLevel="0" collapsed="false">
      <c r="A4" s="42" t="s">
        <v>235</v>
      </c>
      <c r="B4" s="6" t="s">
        <v>236</v>
      </c>
      <c r="C4" s="6" t="s">
        <v>237</v>
      </c>
      <c r="D4" s="43" t="s">
        <v>238</v>
      </c>
    </row>
    <row r="5" customFormat="false" ht="15" hidden="false" customHeight="false" outlineLevel="0" collapsed="false">
      <c r="A5" s="42" t="s">
        <v>239</v>
      </c>
      <c r="B5" s="6" t="s">
        <v>240</v>
      </c>
      <c r="C5" s="6" t="s">
        <v>241</v>
      </c>
      <c r="D5" s="43" t="s">
        <v>242</v>
      </c>
    </row>
    <row r="6" customFormat="false" ht="15" hidden="false" customHeight="false" outlineLevel="0" collapsed="false">
      <c r="A6" s="42" t="s">
        <v>243</v>
      </c>
      <c r="B6" s="6" t="s">
        <v>244</v>
      </c>
      <c r="C6" s="6" t="s">
        <v>245</v>
      </c>
      <c r="D6" s="43" t="s">
        <v>246</v>
      </c>
    </row>
    <row r="7" customFormat="false" ht="15" hidden="false" customHeight="false" outlineLevel="0" collapsed="false">
      <c r="A7" s="42" t="s">
        <v>247</v>
      </c>
      <c r="B7" s="6" t="s">
        <v>248</v>
      </c>
      <c r="C7" s="6" t="s">
        <v>249</v>
      </c>
      <c r="D7" s="43" t="s">
        <v>250</v>
      </c>
    </row>
    <row r="8" customFormat="false" ht="15" hidden="false" customHeight="false" outlineLevel="0" collapsed="false">
      <c r="A8" s="42" t="s">
        <v>251</v>
      </c>
      <c r="B8" s="6" t="s">
        <v>252</v>
      </c>
      <c r="C8" s="6" t="s">
        <v>253</v>
      </c>
      <c r="D8" s="43" t="s">
        <v>254</v>
      </c>
    </row>
    <row r="9" customFormat="false" ht="15" hidden="false" customHeight="false" outlineLevel="0" collapsed="false">
      <c r="A9" s="44" t="s">
        <v>255</v>
      </c>
      <c r="B9" s="45" t="s">
        <v>256</v>
      </c>
      <c r="C9" s="6" t="s">
        <v>178</v>
      </c>
      <c r="D9" s="43" t="s">
        <v>257</v>
      </c>
    </row>
    <row r="10" customFormat="false" ht="15" hidden="false" customHeight="false" outlineLevel="0" collapsed="false">
      <c r="A10" s="44" t="s">
        <v>258</v>
      </c>
      <c r="B10" s="45" t="s">
        <v>259</v>
      </c>
      <c r="C10" s="6" t="s">
        <v>260</v>
      </c>
      <c r="D10" s="43" t="s">
        <v>261</v>
      </c>
    </row>
    <row r="11" customFormat="false" ht="15" hidden="false" customHeight="false" outlineLevel="0" collapsed="false">
      <c r="A11" s="42" t="s">
        <v>262</v>
      </c>
      <c r="B11" s="6" t="s">
        <v>263</v>
      </c>
      <c r="C11" s="6" t="s">
        <v>264</v>
      </c>
      <c r="D11" s="43" t="s">
        <v>265</v>
      </c>
    </row>
    <row r="12" customFormat="false" ht="15" hidden="false" customHeight="false" outlineLevel="0" collapsed="false">
      <c r="A12" s="42" t="s">
        <v>266</v>
      </c>
      <c r="B12" s="6" t="s">
        <v>267</v>
      </c>
      <c r="C12" s="6" t="s">
        <v>268</v>
      </c>
      <c r="D12" s="43" t="s">
        <v>269</v>
      </c>
    </row>
    <row r="13" customFormat="false" ht="15" hidden="false" customHeight="false" outlineLevel="0" collapsed="false">
      <c r="A13" s="42" t="s">
        <v>270</v>
      </c>
      <c r="B13" s="6" t="s">
        <v>271</v>
      </c>
      <c r="C13" s="6" t="s">
        <v>272</v>
      </c>
      <c r="D13" s="43" t="s">
        <v>273</v>
      </c>
    </row>
    <row r="14" customFormat="false" ht="15" hidden="false" customHeight="false" outlineLevel="0" collapsed="false">
      <c r="A14" s="42" t="s">
        <v>274</v>
      </c>
      <c r="B14" s="6" t="s">
        <v>275</v>
      </c>
      <c r="C14" s="6" t="s">
        <v>276</v>
      </c>
      <c r="D14" s="43" t="s">
        <v>277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LibreOffice/25.8.4.2$MacOSX_X86_64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2026-08-29T13:35:43Z</dcterms:created>
  <dc:creator/>
  <dc:description/>
  <dc:language>es-ES</dc:language>
  <cp:lastModifiedBy/>
  <dcterms:modified xsi:type="dcterms:W3CDTF">2026-08-29T22:32:46Z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